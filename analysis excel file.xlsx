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yli\OneDrive\Desktop\FYP\Coding and Data\FYP_Hubs-or-Dubs\"/>
    </mc:Choice>
  </mc:AlternateContent>
  <xr:revisionPtr revIDLastSave="0" documentId="13_ncr:9_{84AC04C2-1511-44DD-AE1A-0C5967AE6F54}" xr6:coauthVersionLast="47" xr6:coauthVersionMax="47" xr10:uidLastSave="{00000000-0000-0000-0000-000000000000}"/>
  <bookViews>
    <workbookView xWindow="14070" yWindow="3045" windowWidth="22965" windowHeight="17505" activeTab="1" xr2:uid="{6732DBCD-1D0F-4E5F-AF34-7BFC0B4014CC}"/>
  </bookViews>
  <sheets>
    <sheet name="all_results_summary" sheetId="1" r:id="rId1"/>
    <sheet name="Sheet1" sheetId="2" r:id="rId2"/>
  </sheets>
  <definedNames>
    <definedName name="_xlnm._FilterDatabase" localSheetId="0" hidden="1">all_results_summary!$B$1:$B$1729</definedName>
    <definedName name="_xlchart.v1.0" hidden="1">all_results_summary!$H$194:$H$1639</definedName>
    <definedName name="_xlchart.v1.1" hidden="1">all_results_summary!$I$194:$I$1639</definedName>
    <definedName name="_xlchart.v1.2" hidden="1">all_results_summary!$H$194:$H$1639</definedName>
    <definedName name="_xlchart.v1.3" hidden="1">all_results_summary!$I$194:$I$1639</definedName>
  </definedNames>
  <calcPr calcId="0"/>
</workbook>
</file>

<file path=xl/calcChain.xml><?xml version="1.0" encoding="utf-8"?>
<calcChain xmlns="http://schemas.openxmlformats.org/spreadsheetml/2006/main">
  <c r="H1724" i="1" l="1"/>
  <c r="H14" i="1"/>
  <c r="H20" i="1"/>
  <c r="H26" i="1"/>
  <c r="H32" i="1"/>
  <c r="H38" i="1"/>
  <c r="H44" i="1"/>
  <c r="H50" i="1"/>
  <c r="H56" i="1"/>
  <c r="H62" i="1"/>
  <c r="H68" i="1"/>
  <c r="H74" i="1"/>
  <c r="H80" i="1"/>
  <c r="H86" i="1"/>
  <c r="H92" i="1"/>
  <c r="H98" i="1"/>
  <c r="H104" i="1"/>
  <c r="H110" i="1"/>
  <c r="H116" i="1"/>
  <c r="H122" i="1"/>
  <c r="H128" i="1"/>
  <c r="H134" i="1"/>
  <c r="H140" i="1"/>
  <c r="H146" i="1"/>
  <c r="H152" i="1"/>
  <c r="H158" i="1"/>
  <c r="H164" i="1"/>
  <c r="H170" i="1"/>
  <c r="H176" i="1"/>
  <c r="H182" i="1"/>
  <c r="H188" i="1"/>
  <c r="H194" i="1"/>
  <c r="H200" i="1"/>
  <c r="H206" i="1"/>
  <c r="H212" i="1"/>
  <c r="H218" i="1"/>
  <c r="H224" i="1"/>
  <c r="H230" i="1"/>
  <c r="H236" i="1"/>
  <c r="H242" i="1"/>
  <c r="H248" i="1"/>
  <c r="H254" i="1"/>
  <c r="H260" i="1"/>
  <c r="H266" i="1"/>
  <c r="H272" i="1"/>
  <c r="H278" i="1"/>
  <c r="H284" i="1"/>
  <c r="H290" i="1"/>
  <c r="H296" i="1"/>
  <c r="H302" i="1"/>
  <c r="H308" i="1"/>
  <c r="H314" i="1"/>
  <c r="H320" i="1"/>
  <c r="H326" i="1"/>
  <c r="H332" i="1"/>
  <c r="H338" i="1"/>
  <c r="H344" i="1"/>
  <c r="H350" i="1"/>
  <c r="H356" i="1"/>
  <c r="H362" i="1"/>
  <c r="H368" i="1"/>
  <c r="H374" i="1"/>
  <c r="H380" i="1"/>
  <c r="H386" i="1"/>
  <c r="H392" i="1"/>
  <c r="H398" i="1"/>
  <c r="H404" i="1"/>
  <c r="H410" i="1"/>
  <c r="H416" i="1"/>
  <c r="H422" i="1"/>
  <c r="H428" i="1"/>
  <c r="H434" i="1"/>
  <c r="H440" i="1"/>
  <c r="H446" i="1"/>
  <c r="H452" i="1"/>
  <c r="H458" i="1"/>
  <c r="H464" i="1"/>
  <c r="H470" i="1"/>
  <c r="H476" i="1"/>
  <c r="H482" i="1"/>
  <c r="H488" i="1"/>
  <c r="H494" i="1"/>
  <c r="H500" i="1"/>
  <c r="H506" i="1"/>
  <c r="H512" i="1"/>
  <c r="H518" i="1"/>
  <c r="H524" i="1"/>
  <c r="H530" i="1"/>
  <c r="H536" i="1"/>
  <c r="H542" i="1"/>
  <c r="H548" i="1"/>
  <c r="H554" i="1"/>
  <c r="H560" i="1"/>
  <c r="H566" i="1"/>
  <c r="H572" i="1"/>
  <c r="H578" i="1"/>
  <c r="H584" i="1"/>
  <c r="H590" i="1"/>
  <c r="H596" i="1"/>
  <c r="H602" i="1"/>
  <c r="H608" i="1"/>
  <c r="H614" i="1"/>
  <c r="H620" i="1"/>
  <c r="H626" i="1"/>
  <c r="H632" i="1"/>
  <c r="H638" i="1"/>
  <c r="H644" i="1"/>
  <c r="H650" i="1"/>
  <c r="H656" i="1"/>
  <c r="H662" i="1"/>
  <c r="H668" i="1"/>
  <c r="H674" i="1"/>
  <c r="H680" i="1"/>
  <c r="H686" i="1"/>
  <c r="H692" i="1"/>
  <c r="H698" i="1"/>
  <c r="H704" i="1"/>
  <c r="H710" i="1"/>
  <c r="H716" i="1"/>
  <c r="H722" i="1"/>
  <c r="H728" i="1"/>
  <c r="H734" i="1"/>
  <c r="H740" i="1"/>
  <c r="H746" i="1"/>
  <c r="H752" i="1"/>
  <c r="H758" i="1"/>
  <c r="H764" i="1"/>
  <c r="H770" i="1"/>
  <c r="H776" i="1"/>
  <c r="H782" i="1"/>
  <c r="H788" i="1"/>
  <c r="H794" i="1"/>
  <c r="H800" i="1"/>
  <c r="H806" i="1"/>
  <c r="H812" i="1"/>
  <c r="H818" i="1"/>
  <c r="H824" i="1"/>
  <c r="H830" i="1"/>
  <c r="H836" i="1"/>
  <c r="H842" i="1"/>
  <c r="H848" i="1"/>
  <c r="H854" i="1"/>
  <c r="H860" i="1"/>
  <c r="H866" i="1"/>
  <c r="H872" i="1"/>
  <c r="H878" i="1"/>
  <c r="H884" i="1"/>
  <c r="H890" i="1"/>
  <c r="H896" i="1"/>
  <c r="H902" i="1"/>
  <c r="H908" i="1"/>
  <c r="H914" i="1"/>
  <c r="H920" i="1"/>
  <c r="H926" i="1"/>
  <c r="H932" i="1"/>
  <c r="H938" i="1"/>
  <c r="H944" i="1"/>
  <c r="H950" i="1"/>
  <c r="H956" i="1"/>
  <c r="H962" i="1"/>
  <c r="H968" i="1"/>
  <c r="H974" i="1"/>
  <c r="H980" i="1"/>
  <c r="H986" i="1"/>
  <c r="H992" i="1"/>
  <c r="H998" i="1"/>
  <c r="H1004" i="1"/>
  <c r="H1010" i="1"/>
  <c r="H1016" i="1"/>
  <c r="H1022" i="1"/>
  <c r="H1028" i="1"/>
  <c r="H1034" i="1"/>
  <c r="H1040" i="1"/>
  <c r="H1046" i="1"/>
  <c r="H1052" i="1"/>
  <c r="H1058" i="1"/>
  <c r="H1064" i="1"/>
  <c r="H1070" i="1"/>
  <c r="H1076" i="1"/>
  <c r="H1082" i="1"/>
  <c r="H1088" i="1"/>
  <c r="H1094" i="1"/>
  <c r="H1100" i="1"/>
  <c r="H1106" i="1"/>
  <c r="H1112" i="1"/>
  <c r="H1118" i="1"/>
  <c r="H1124" i="1"/>
  <c r="H1130" i="1"/>
  <c r="H1136" i="1"/>
  <c r="H1142" i="1"/>
  <c r="H1148" i="1"/>
  <c r="H1154" i="1"/>
  <c r="H1160" i="1"/>
  <c r="H1166" i="1"/>
  <c r="H1172" i="1"/>
  <c r="H1178" i="1"/>
  <c r="H1184" i="1"/>
  <c r="H1190" i="1"/>
  <c r="H1196" i="1"/>
  <c r="H1202" i="1"/>
  <c r="H1208" i="1"/>
  <c r="H1214" i="1"/>
  <c r="H1220" i="1"/>
  <c r="H1226" i="1"/>
  <c r="H1232" i="1"/>
  <c r="H1238" i="1"/>
  <c r="H1244" i="1"/>
  <c r="H1250" i="1"/>
  <c r="H1256" i="1"/>
  <c r="H1262" i="1"/>
  <c r="H1268" i="1"/>
  <c r="H1274" i="1"/>
  <c r="H1280" i="1"/>
  <c r="H1286" i="1"/>
  <c r="H1292" i="1"/>
  <c r="H1298" i="1"/>
  <c r="H1304" i="1"/>
  <c r="H1310" i="1"/>
  <c r="H1316" i="1"/>
  <c r="H1322" i="1"/>
  <c r="H1328" i="1"/>
  <c r="H1334" i="1"/>
  <c r="H1340" i="1"/>
  <c r="H1346" i="1"/>
  <c r="H1352" i="1"/>
  <c r="H1358" i="1"/>
  <c r="H1364" i="1"/>
  <c r="H1370" i="1"/>
  <c r="H1376" i="1"/>
  <c r="H1382" i="1"/>
  <c r="H1388" i="1"/>
  <c r="H1394" i="1"/>
  <c r="H1400" i="1"/>
  <c r="H1406" i="1"/>
  <c r="H1412" i="1"/>
  <c r="H1418" i="1"/>
  <c r="H1424" i="1"/>
  <c r="H1430" i="1"/>
  <c r="H1436" i="1"/>
  <c r="H1442" i="1"/>
  <c r="H1448" i="1"/>
  <c r="H1454" i="1"/>
  <c r="H1460" i="1"/>
  <c r="H1466" i="1"/>
  <c r="H1472" i="1"/>
  <c r="H1478" i="1"/>
  <c r="H1484" i="1"/>
  <c r="H1490" i="1"/>
  <c r="H1496" i="1"/>
  <c r="H1502" i="1"/>
  <c r="H1508" i="1"/>
  <c r="H1514" i="1"/>
  <c r="H1520" i="1"/>
  <c r="H1526" i="1"/>
  <c r="H1532" i="1"/>
  <c r="H1538" i="1"/>
  <c r="H1544" i="1"/>
  <c r="H1550" i="1"/>
  <c r="H1556" i="1"/>
  <c r="H1562" i="1"/>
  <c r="H1568" i="1"/>
  <c r="H1574" i="1"/>
  <c r="H1580" i="1"/>
  <c r="H1586" i="1"/>
  <c r="H1592" i="1"/>
  <c r="H1598" i="1"/>
  <c r="H1604" i="1"/>
  <c r="H1610" i="1"/>
  <c r="H1616" i="1"/>
  <c r="H1622" i="1"/>
  <c r="H1628" i="1"/>
  <c r="H1634" i="1"/>
  <c r="H1640" i="1"/>
  <c r="H1646" i="1"/>
  <c r="H1652" i="1"/>
  <c r="H1658" i="1"/>
  <c r="H1664" i="1"/>
  <c r="H1670" i="1"/>
  <c r="H1676" i="1"/>
  <c r="H1682" i="1"/>
  <c r="H1688" i="1"/>
  <c r="H1694" i="1"/>
  <c r="H1700" i="1"/>
  <c r="H1706" i="1"/>
  <c r="H1712" i="1"/>
  <c r="H1718" i="1"/>
  <c r="H8" i="1"/>
  <c r="H2" i="1"/>
</calcChain>
</file>

<file path=xl/sharedStrings.xml><?xml version="1.0" encoding="utf-8"?>
<sst xmlns="http://schemas.openxmlformats.org/spreadsheetml/2006/main" count="1738" uniqueCount="57">
  <si>
    <t>base_year</t>
  </si>
  <si>
    <t>location</t>
  </si>
  <si>
    <t>data_year</t>
  </si>
  <si>
    <t>total_deficit_mwh</t>
  </si>
  <si>
    <t>deficit_hours</t>
  </si>
  <si>
    <t>total_gen_mwh</t>
  </si>
  <si>
    <t>avg_storage_mwh</t>
  </si>
  <si>
    <t>Gippsland offshore wind</t>
  </si>
  <si>
    <t>Hazelwood North Solar Farm</t>
  </si>
  <si>
    <t>Glenrowan solar farm</t>
  </si>
  <si>
    <t>Hawkesdale wind farm</t>
  </si>
  <si>
    <t>Mortlake Energy Hub</t>
  </si>
  <si>
    <t>Golden Plains Wind Farm</t>
  </si>
  <si>
    <t>Elaine Solar Farm</t>
  </si>
  <si>
    <t>Warracknabeal Energy Park (proposed)</t>
  </si>
  <si>
    <t>Murra Warra Solar Farm (proposed)</t>
  </si>
  <si>
    <t>Gannawarra Solar Farm</t>
  </si>
  <si>
    <t>Meering West Wind Farm</t>
  </si>
  <si>
    <t>Coopers GapÂ </t>
  </si>
  <si>
    <t>Dulacca Wind Farm</t>
  </si>
  <si>
    <t>Mount Emerald Wind Farm</t>
  </si>
  <si>
    <t>Kaban</t>
  </si>
  <si>
    <t>Sample data</t>
  </si>
  <si>
    <t>Kennedy Energy Park Stage 1</t>
  </si>
  <si>
    <t>Western Downs Green Power Hub</t>
  </si>
  <si>
    <t>Daydream Solar Farm</t>
  </si>
  <si>
    <t>Kidston Solar Project KS1</t>
  </si>
  <si>
    <t>Emerald Solar Farm</t>
  </si>
  <si>
    <t>Ross River Solar FarmÂ </t>
  </si>
  <si>
    <t>Childers Solar Farm</t>
  </si>
  <si>
    <t>Haughton Solar Farm</t>
  </si>
  <si>
    <t>Cattle Hill Wind FarmÂ </t>
  </si>
  <si>
    <t>Granville Harbour Wind Farm</t>
  </si>
  <si>
    <t>Huxley Wind Farm, King Island</t>
  </si>
  <si>
    <t>Musselroe Wind Farm</t>
  </si>
  <si>
    <t>Studland Bay Wind FarmÂ </t>
  </si>
  <si>
    <t>Northern Midland Solar Farm</t>
  </si>
  <si>
    <t>Weasel Solar FarmÂ </t>
  </si>
  <si>
    <t>Bell Bay Solar Farm</t>
  </si>
  <si>
    <t>King Island Solar FarmÂ Â </t>
  </si>
  <si>
    <t>Woakwine Wind farm</t>
  </si>
  <si>
    <t>Robertstown Solar Project</t>
  </si>
  <si>
    <t>Goyder South Hybrid Renewable Power Station</t>
  </si>
  <si>
    <t>Cleve Wind Farm</t>
  </si>
  <si>
    <t>Yoorndoo Ilga Solar</t>
  </si>
  <si>
    <t xml:space="preserve">Bodangora Wind Farm </t>
  </si>
  <si>
    <t>Sapphire Wind Farm</t>
  </si>
  <si>
    <t xml:space="preserve">Metz Solar Farm </t>
  </si>
  <si>
    <t>Bullawah Wind Farm</t>
  </si>
  <si>
    <t>Sunraysia Solar Farm</t>
  </si>
  <si>
    <t xml:space="preserve">Hunter Coast Offshore Wind Project (proposed) </t>
  </si>
  <si>
    <t xml:space="preserve">Muswellbrook Solar Farm </t>
  </si>
  <si>
    <t>Wollongong Offshore Wind Project (proposed)</t>
  </si>
  <si>
    <t xml:space="preserve">Shoalhaven Solar Farm </t>
  </si>
  <si>
    <t>Number of deficit caused by base year</t>
  </si>
  <si>
    <t xml:space="preserve">Number of deficits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</si>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</sst>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Number of deficits across 2019-2024 using different base yeas</a:t>
            </a:r>
            <a:br>
              <a:rPr lang="en-US" altLang="zh-CN"/>
            </a:br>
            <a:r>
              <a:rPr lang="en-US" altLang="zh-CN"/>
              <a:t>Bell</a:t>
            </a:r>
            <a:r>
              <a:rPr lang="en-US" altLang="zh-CN" baseline="0"/>
              <a:t> Bay Solar Farm</a:t>
            </a:r>
            <a:r>
              <a:rPr lang="en-US" altLang="zh-C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Number of deficits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Sheet1!$B$2:$B$7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Sheet1!$A$2:$A$7</c:f>
              <c:numCache>
                <c:formatCode>General</c:formatCode>
                <c:ptCount val="6"/>
                <c:pt idx="0">
                  <c:v>263</c:v>
                </c:pt>
                <c:pt idx="1">
                  <c:v>43</c:v>
                </c:pt>
                <c:pt idx="2">
                  <c:v>53</c:v>
                </c:pt>
                <c:pt idx="3">
                  <c:v>132</c:v>
                </c:pt>
                <c:pt idx="4">
                  <c:v>120</c:v>
                </c:pt>
                <c:pt idx="5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B-41C8-AA53-8324F973B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93600"/>
        <c:axId val="9301744"/>
      </c:barChart>
      <c:catAx>
        <c:axId val="7339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Base</a:t>
                </a:r>
                <a:r>
                  <a:rPr lang="en-AU" altLang="zh-CN" baseline="0"/>
                  <a:t> year used for model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1744"/>
        <c:crosses val="autoZero"/>
        <c:auto val="1"/>
        <c:lblAlgn val="ctr"/>
        <c:lblOffset val="100"/>
        <c:noMultiLvlLbl val="0"/>
      </c:catAx>
      <c:valAx>
        <c:axId val="93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 events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214312</xdr:colOff>
      <xdr:row>4</xdr:row>
      <xdr:rowOff>52387</xdr:rowOff>
    </xdr:from>
    <xdr:to>
      <xdr:col>17</xdr:col>
      <xdr:colOff>304800</xdr:colOff>
      <xdr:row>24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01E7665-672B-2EA3-3710-55F9A6575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CFD9-FE77-432B-AC38-19A91614A201}">
  <sheetPr filterMode="1"/>
  <dimension ref="A1:I1729"/>
  <sheetViews>
    <sheetView workbookViewId="0">
      <selection activeCell="H194" sqref="H194:I1639"/>
    </sheetView>
  </sheetViews>
  <sheetFormatPr defaultRowHeight="15" x14ac:dyDescent="0.25"/>
  <cols>
    <col min="1" max="1" width="18" customWidth="1"/>
    <col min="2" max="2" width="34.140625" customWidth="1"/>
    <col min="7" max="7" width="20.28515625" customWidth="1"/>
    <col min="8" max="8" width="3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</v>
      </c>
    </row>
    <row r="2" spans="1:8" hidden="1" x14ac:dyDescent="0.25">
      <c r="A2">
        <v>2019</v>
      </c>
      <c r="B2" t="s">
        <v>7</v>
      </c>
      <c r="C2">
        <v>2019</v>
      </c>
      <c r="D2">
        <v>84.63</v>
      </c>
      <c r="E2">
        <v>4</v>
      </c>
      <c r="F2">
        <v>641502.02</v>
      </c>
      <c r="G2">
        <v>531.14</v>
      </c>
      <c r="H2" s="2">
        <f>SUM(E2:E7)</f>
        <v>169</v>
      </c>
    </row>
    <row r="3" spans="1:8" hidden="1" x14ac:dyDescent="0.25">
      <c r="A3">
        <v>2019</v>
      </c>
      <c r="B3" t="s">
        <v>7</v>
      </c>
      <c r="C3">
        <v>2020</v>
      </c>
      <c r="D3">
        <v>1285.04</v>
      </c>
      <c r="E3">
        <v>27</v>
      </c>
      <c r="F3">
        <v>603699.94999999995</v>
      </c>
      <c r="G3">
        <v>511.14</v>
      </c>
      <c r="H3" s="2"/>
    </row>
    <row r="4" spans="1:8" hidden="1" x14ac:dyDescent="0.25">
      <c r="A4">
        <v>2019</v>
      </c>
      <c r="B4" t="s">
        <v>7</v>
      </c>
      <c r="C4">
        <v>2021</v>
      </c>
      <c r="D4">
        <v>1064.45</v>
      </c>
      <c r="E4">
        <v>18</v>
      </c>
      <c r="F4">
        <v>630890.62</v>
      </c>
      <c r="G4">
        <v>512.4</v>
      </c>
      <c r="H4" s="2"/>
    </row>
    <row r="5" spans="1:8" hidden="1" x14ac:dyDescent="0.25">
      <c r="A5">
        <v>2019</v>
      </c>
      <c r="B5" t="s">
        <v>7</v>
      </c>
      <c r="C5">
        <v>2022</v>
      </c>
      <c r="D5">
        <v>2709.96</v>
      </c>
      <c r="E5">
        <v>51</v>
      </c>
      <c r="F5">
        <v>607419.23</v>
      </c>
      <c r="G5">
        <v>509.56</v>
      </c>
      <c r="H5" s="2"/>
    </row>
    <row r="6" spans="1:8" hidden="1" x14ac:dyDescent="0.25">
      <c r="A6">
        <v>2019</v>
      </c>
      <c r="B6" t="s">
        <v>7</v>
      </c>
      <c r="C6">
        <v>2023</v>
      </c>
      <c r="D6">
        <v>972.19</v>
      </c>
      <c r="E6">
        <v>18</v>
      </c>
      <c r="F6">
        <v>622985.14</v>
      </c>
      <c r="G6">
        <v>528.51</v>
      </c>
      <c r="H6" s="2"/>
    </row>
    <row r="7" spans="1:8" hidden="1" x14ac:dyDescent="0.25">
      <c r="A7">
        <v>2019</v>
      </c>
      <c r="B7" t="s">
        <v>7</v>
      </c>
      <c r="C7">
        <v>2024</v>
      </c>
      <c r="D7">
        <v>2155.89</v>
      </c>
      <c r="E7">
        <v>51</v>
      </c>
      <c r="F7">
        <v>630561.01</v>
      </c>
      <c r="G7">
        <v>511.71</v>
      </c>
      <c r="H7" s="2"/>
    </row>
    <row r="8" spans="1:8" hidden="1" x14ac:dyDescent="0.25">
      <c r="A8">
        <v>2019</v>
      </c>
      <c r="B8" t="s">
        <v>8</v>
      </c>
      <c r="C8">
        <v>2019</v>
      </c>
      <c r="D8">
        <v>526.16999999999996</v>
      </c>
      <c r="E8">
        <v>11</v>
      </c>
      <c r="F8">
        <v>704122.02</v>
      </c>
      <c r="G8">
        <v>389.1</v>
      </c>
      <c r="H8" s="2">
        <f>SUM(E8:E13)</f>
        <v>185</v>
      </c>
    </row>
    <row r="9" spans="1:8" hidden="1" x14ac:dyDescent="0.25">
      <c r="A9">
        <v>2019</v>
      </c>
      <c r="B9" t="s">
        <v>8</v>
      </c>
      <c r="C9">
        <v>2020</v>
      </c>
      <c r="D9">
        <v>1956.29</v>
      </c>
      <c r="E9">
        <v>46</v>
      </c>
      <c r="F9">
        <v>661876.59</v>
      </c>
      <c r="G9">
        <v>377.94</v>
      </c>
      <c r="H9" s="2"/>
    </row>
    <row r="10" spans="1:8" hidden="1" x14ac:dyDescent="0.25">
      <c r="A10">
        <v>2019</v>
      </c>
      <c r="B10" t="s">
        <v>8</v>
      </c>
      <c r="C10">
        <v>2021</v>
      </c>
      <c r="D10">
        <v>1538.05</v>
      </c>
      <c r="E10">
        <v>33</v>
      </c>
      <c r="F10">
        <v>679575.4</v>
      </c>
      <c r="G10">
        <v>384.66</v>
      </c>
      <c r="H10" s="2"/>
    </row>
    <row r="11" spans="1:8" hidden="1" x14ac:dyDescent="0.25">
      <c r="A11">
        <v>2019</v>
      </c>
      <c r="B11" t="s">
        <v>8</v>
      </c>
      <c r="C11">
        <v>2022</v>
      </c>
      <c r="D11">
        <v>2185</v>
      </c>
      <c r="E11">
        <v>43</v>
      </c>
      <c r="F11">
        <v>645734.88</v>
      </c>
      <c r="G11">
        <v>376.39</v>
      </c>
      <c r="H11" s="2"/>
    </row>
    <row r="12" spans="1:8" hidden="1" x14ac:dyDescent="0.25">
      <c r="A12">
        <v>2019</v>
      </c>
      <c r="B12" t="s">
        <v>8</v>
      </c>
      <c r="C12">
        <v>2023</v>
      </c>
      <c r="D12">
        <v>1046.27</v>
      </c>
      <c r="E12">
        <v>20</v>
      </c>
      <c r="F12">
        <v>675206.06</v>
      </c>
      <c r="G12">
        <v>385.99</v>
      </c>
      <c r="H12" s="2"/>
    </row>
    <row r="13" spans="1:8" hidden="1" x14ac:dyDescent="0.25">
      <c r="A13">
        <v>2019</v>
      </c>
      <c r="B13" t="s">
        <v>8</v>
      </c>
      <c r="C13">
        <v>2024</v>
      </c>
      <c r="D13">
        <v>1397.17</v>
      </c>
      <c r="E13">
        <v>32</v>
      </c>
      <c r="F13">
        <v>690292.98</v>
      </c>
      <c r="G13">
        <v>381.55</v>
      </c>
      <c r="H13" s="2"/>
    </row>
    <row r="14" spans="1:8" hidden="1" x14ac:dyDescent="0.25">
      <c r="A14">
        <v>2019</v>
      </c>
      <c r="B14" t="s">
        <v>9</v>
      </c>
      <c r="C14">
        <v>2019</v>
      </c>
      <c r="D14">
        <v>509.29</v>
      </c>
      <c r="E14">
        <v>11</v>
      </c>
      <c r="F14">
        <v>784126</v>
      </c>
      <c r="G14">
        <v>404.49</v>
      </c>
      <c r="H14" s="2">
        <f t="shared" ref="H14" si="0">SUM(E14:E19)</f>
        <v>321</v>
      </c>
    </row>
    <row r="15" spans="1:8" hidden="1" x14ac:dyDescent="0.25">
      <c r="A15">
        <v>2019</v>
      </c>
      <c r="B15" t="s">
        <v>9</v>
      </c>
      <c r="C15">
        <v>2020</v>
      </c>
      <c r="D15">
        <v>1682.53</v>
      </c>
      <c r="E15">
        <v>32</v>
      </c>
      <c r="F15">
        <v>753570.79</v>
      </c>
      <c r="G15">
        <v>396.32</v>
      </c>
      <c r="H15" s="2"/>
    </row>
    <row r="16" spans="1:8" hidden="1" x14ac:dyDescent="0.25">
      <c r="A16">
        <v>2019</v>
      </c>
      <c r="B16" t="s">
        <v>9</v>
      </c>
      <c r="C16">
        <v>2021</v>
      </c>
      <c r="D16">
        <v>4793.01</v>
      </c>
      <c r="E16">
        <v>103</v>
      </c>
      <c r="F16">
        <v>747104.39</v>
      </c>
      <c r="G16">
        <v>384.77</v>
      </c>
      <c r="H16" s="2"/>
    </row>
    <row r="17" spans="1:8" hidden="1" x14ac:dyDescent="0.25">
      <c r="A17">
        <v>2019</v>
      </c>
      <c r="B17" t="s">
        <v>9</v>
      </c>
      <c r="C17">
        <v>2022</v>
      </c>
      <c r="D17">
        <v>4700.71</v>
      </c>
      <c r="E17">
        <v>86</v>
      </c>
      <c r="F17">
        <v>712976.01</v>
      </c>
      <c r="G17">
        <v>384.18</v>
      </c>
      <c r="H17" s="2"/>
    </row>
    <row r="18" spans="1:8" hidden="1" x14ac:dyDescent="0.25">
      <c r="A18">
        <v>2019</v>
      </c>
      <c r="B18" t="s">
        <v>9</v>
      </c>
      <c r="C18">
        <v>2023</v>
      </c>
      <c r="D18">
        <v>3174.33</v>
      </c>
      <c r="E18">
        <v>58</v>
      </c>
      <c r="F18">
        <v>742851.08</v>
      </c>
      <c r="G18">
        <v>390.14</v>
      </c>
      <c r="H18" s="2"/>
    </row>
    <row r="19" spans="1:8" hidden="1" x14ac:dyDescent="0.25">
      <c r="A19">
        <v>2019</v>
      </c>
      <c r="B19" t="s">
        <v>9</v>
      </c>
      <c r="C19">
        <v>2024</v>
      </c>
      <c r="D19">
        <v>1509.03</v>
      </c>
      <c r="E19">
        <v>31</v>
      </c>
      <c r="F19">
        <v>787264.16</v>
      </c>
      <c r="G19">
        <v>396.98</v>
      </c>
      <c r="H19" s="2"/>
    </row>
    <row r="20" spans="1:8" hidden="1" x14ac:dyDescent="0.25">
      <c r="A20">
        <v>2019</v>
      </c>
      <c r="B20" t="s">
        <v>10</v>
      </c>
      <c r="C20">
        <v>2019</v>
      </c>
      <c r="D20">
        <v>105.24</v>
      </c>
      <c r="E20">
        <v>4</v>
      </c>
      <c r="F20">
        <v>749484.49</v>
      </c>
      <c r="G20">
        <v>466.78</v>
      </c>
      <c r="H20" s="2">
        <f t="shared" ref="H20" si="1">SUM(E20:E25)</f>
        <v>105</v>
      </c>
    </row>
    <row r="21" spans="1:8" hidden="1" x14ac:dyDescent="0.25">
      <c r="A21">
        <v>2019</v>
      </c>
      <c r="B21" t="s">
        <v>10</v>
      </c>
      <c r="C21">
        <v>2020</v>
      </c>
      <c r="D21">
        <v>1802.11</v>
      </c>
      <c r="E21">
        <v>38</v>
      </c>
      <c r="F21">
        <v>723853.82</v>
      </c>
      <c r="G21">
        <v>459.08</v>
      </c>
      <c r="H21" s="2"/>
    </row>
    <row r="22" spans="1:8" hidden="1" x14ac:dyDescent="0.25">
      <c r="A22">
        <v>2019</v>
      </c>
      <c r="B22" t="s">
        <v>10</v>
      </c>
      <c r="C22">
        <v>2021</v>
      </c>
      <c r="D22">
        <v>149.71</v>
      </c>
      <c r="E22">
        <v>2</v>
      </c>
      <c r="F22">
        <v>745193.7</v>
      </c>
      <c r="G22">
        <v>470.12</v>
      </c>
      <c r="H22" s="2"/>
    </row>
    <row r="23" spans="1:8" hidden="1" x14ac:dyDescent="0.25">
      <c r="A23">
        <v>2019</v>
      </c>
      <c r="B23" t="s">
        <v>10</v>
      </c>
      <c r="C23">
        <v>2022</v>
      </c>
      <c r="D23">
        <v>512.77</v>
      </c>
      <c r="E23">
        <v>11</v>
      </c>
      <c r="F23">
        <v>712854.83</v>
      </c>
      <c r="G23">
        <v>464.4</v>
      </c>
      <c r="H23" s="2"/>
    </row>
    <row r="24" spans="1:8" hidden="1" x14ac:dyDescent="0.25">
      <c r="A24">
        <v>2019</v>
      </c>
      <c r="B24" t="s">
        <v>10</v>
      </c>
      <c r="C24">
        <v>2023</v>
      </c>
      <c r="D24">
        <v>1294.8499999999999</v>
      </c>
      <c r="E24">
        <v>21</v>
      </c>
      <c r="F24">
        <v>743931.95</v>
      </c>
      <c r="G24">
        <v>467.31</v>
      </c>
      <c r="H24" s="2"/>
    </row>
    <row r="25" spans="1:8" hidden="1" x14ac:dyDescent="0.25">
      <c r="A25">
        <v>2019</v>
      </c>
      <c r="B25" t="s">
        <v>10</v>
      </c>
      <c r="C25">
        <v>2024</v>
      </c>
      <c r="D25">
        <v>1057.67</v>
      </c>
      <c r="E25">
        <v>29</v>
      </c>
      <c r="F25">
        <v>729441.98</v>
      </c>
      <c r="G25">
        <v>463.53</v>
      </c>
      <c r="H25" s="2"/>
    </row>
    <row r="26" spans="1:8" hidden="1" x14ac:dyDescent="0.25">
      <c r="A26">
        <v>2019</v>
      </c>
      <c r="B26" t="s">
        <v>11</v>
      </c>
      <c r="C26">
        <v>2019</v>
      </c>
      <c r="D26">
        <v>475.36</v>
      </c>
      <c r="E26">
        <v>15</v>
      </c>
      <c r="F26">
        <v>731734.68</v>
      </c>
      <c r="G26">
        <v>421.63</v>
      </c>
      <c r="H26" s="2">
        <f t="shared" ref="H26" si="2">SUM(E26:E31)</f>
        <v>127</v>
      </c>
    </row>
    <row r="27" spans="1:8" hidden="1" x14ac:dyDescent="0.25">
      <c r="A27">
        <v>2019</v>
      </c>
      <c r="B27" t="s">
        <v>11</v>
      </c>
      <c r="C27">
        <v>2020</v>
      </c>
      <c r="D27">
        <v>2127.11</v>
      </c>
      <c r="E27">
        <v>46</v>
      </c>
      <c r="F27">
        <v>701919.12</v>
      </c>
      <c r="G27">
        <v>414.78</v>
      </c>
      <c r="H27" s="2"/>
    </row>
    <row r="28" spans="1:8" hidden="1" x14ac:dyDescent="0.25">
      <c r="A28">
        <v>2019</v>
      </c>
      <c r="B28" t="s">
        <v>11</v>
      </c>
      <c r="C28">
        <v>2021</v>
      </c>
      <c r="D28">
        <v>374.28</v>
      </c>
      <c r="E28">
        <v>8</v>
      </c>
      <c r="F28">
        <v>722029.05</v>
      </c>
      <c r="G28">
        <v>423.16</v>
      </c>
      <c r="H28" s="2"/>
    </row>
    <row r="29" spans="1:8" hidden="1" x14ac:dyDescent="0.25">
      <c r="A29">
        <v>2019</v>
      </c>
      <c r="B29" t="s">
        <v>11</v>
      </c>
      <c r="C29">
        <v>2022</v>
      </c>
      <c r="D29">
        <v>905.19</v>
      </c>
      <c r="E29">
        <v>15</v>
      </c>
      <c r="F29">
        <v>689232.44</v>
      </c>
      <c r="G29">
        <v>416.6</v>
      </c>
      <c r="H29" s="2"/>
    </row>
    <row r="30" spans="1:8" hidden="1" x14ac:dyDescent="0.25">
      <c r="A30">
        <v>2019</v>
      </c>
      <c r="B30" t="s">
        <v>11</v>
      </c>
      <c r="C30">
        <v>2023</v>
      </c>
      <c r="D30">
        <v>996.48</v>
      </c>
      <c r="E30">
        <v>16</v>
      </c>
      <c r="F30">
        <v>720126.73</v>
      </c>
      <c r="G30">
        <v>419.38</v>
      </c>
      <c r="H30" s="2"/>
    </row>
    <row r="31" spans="1:8" hidden="1" x14ac:dyDescent="0.25">
      <c r="A31">
        <v>2019</v>
      </c>
      <c r="B31" t="s">
        <v>11</v>
      </c>
      <c r="C31">
        <v>2024</v>
      </c>
      <c r="D31">
        <v>1039.22</v>
      </c>
      <c r="E31">
        <v>27</v>
      </c>
      <c r="F31">
        <v>714447.07</v>
      </c>
      <c r="G31">
        <v>419.49</v>
      </c>
      <c r="H31" s="2"/>
    </row>
    <row r="32" spans="1:8" hidden="1" x14ac:dyDescent="0.25">
      <c r="A32">
        <v>2019</v>
      </c>
      <c r="B32" t="s">
        <v>12</v>
      </c>
      <c r="C32">
        <v>2019</v>
      </c>
      <c r="D32">
        <v>365.75</v>
      </c>
      <c r="E32">
        <v>8</v>
      </c>
      <c r="F32">
        <v>797619.48</v>
      </c>
      <c r="G32">
        <v>369.79</v>
      </c>
      <c r="H32" s="2">
        <f t="shared" ref="H32" si="3">SUM(E32:E37)</f>
        <v>76</v>
      </c>
    </row>
    <row r="33" spans="1:8" hidden="1" x14ac:dyDescent="0.25">
      <c r="A33">
        <v>2019</v>
      </c>
      <c r="B33" t="s">
        <v>12</v>
      </c>
      <c r="C33">
        <v>2020</v>
      </c>
      <c r="D33">
        <v>907.56</v>
      </c>
      <c r="E33">
        <v>18</v>
      </c>
      <c r="F33">
        <v>776716.89</v>
      </c>
      <c r="G33">
        <v>364.51</v>
      </c>
      <c r="H33" s="2"/>
    </row>
    <row r="34" spans="1:8" hidden="1" x14ac:dyDescent="0.25">
      <c r="A34">
        <v>2019</v>
      </c>
      <c r="B34" t="s">
        <v>12</v>
      </c>
      <c r="C34">
        <v>2021</v>
      </c>
      <c r="D34">
        <v>116.99</v>
      </c>
      <c r="E34">
        <v>3</v>
      </c>
      <c r="F34">
        <v>787282.67</v>
      </c>
      <c r="G34">
        <v>370.03</v>
      </c>
      <c r="H34" s="2"/>
    </row>
    <row r="35" spans="1:8" hidden="1" x14ac:dyDescent="0.25">
      <c r="A35">
        <v>2019</v>
      </c>
      <c r="B35" t="s">
        <v>12</v>
      </c>
      <c r="C35">
        <v>2022</v>
      </c>
      <c r="D35">
        <v>400.49</v>
      </c>
      <c r="E35">
        <v>6</v>
      </c>
      <c r="F35">
        <v>746491.06</v>
      </c>
      <c r="G35">
        <v>366.59</v>
      </c>
      <c r="H35" s="2"/>
    </row>
    <row r="36" spans="1:8" hidden="1" x14ac:dyDescent="0.25">
      <c r="A36">
        <v>2019</v>
      </c>
      <c r="B36" t="s">
        <v>12</v>
      </c>
      <c r="C36">
        <v>2023</v>
      </c>
      <c r="D36">
        <v>572.28</v>
      </c>
      <c r="E36">
        <v>13</v>
      </c>
      <c r="F36">
        <v>787935.95</v>
      </c>
      <c r="G36">
        <v>369.8</v>
      </c>
      <c r="H36" s="2"/>
    </row>
    <row r="37" spans="1:8" hidden="1" x14ac:dyDescent="0.25">
      <c r="A37">
        <v>2019</v>
      </c>
      <c r="B37" t="s">
        <v>12</v>
      </c>
      <c r="C37">
        <v>2024</v>
      </c>
      <c r="D37">
        <v>1296.3599999999999</v>
      </c>
      <c r="E37">
        <v>28</v>
      </c>
      <c r="F37">
        <v>775535.74</v>
      </c>
      <c r="G37">
        <v>367.96</v>
      </c>
      <c r="H37" s="2"/>
    </row>
    <row r="38" spans="1:8" hidden="1" x14ac:dyDescent="0.25">
      <c r="A38">
        <v>2019</v>
      </c>
      <c r="B38" t="s">
        <v>13</v>
      </c>
      <c r="C38">
        <v>2019</v>
      </c>
      <c r="D38">
        <v>476.98</v>
      </c>
      <c r="E38">
        <v>12</v>
      </c>
      <c r="F38">
        <v>772916.28</v>
      </c>
      <c r="G38">
        <v>331.43</v>
      </c>
      <c r="H38" s="2">
        <f t="shared" ref="H38" si="4">SUM(E38:E43)</f>
        <v>93</v>
      </c>
    </row>
    <row r="39" spans="1:8" hidden="1" x14ac:dyDescent="0.25">
      <c r="A39">
        <v>2019</v>
      </c>
      <c r="B39" t="s">
        <v>13</v>
      </c>
      <c r="C39">
        <v>2020</v>
      </c>
      <c r="D39">
        <v>685.32</v>
      </c>
      <c r="E39">
        <v>13</v>
      </c>
      <c r="F39">
        <v>753643.08</v>
      </c>
      <c r="G39">
        <v>327.8</v>
      </c>
      <c r="H39" s="2"/>
    </row>
    <row r="40" spans="1:8" hidden="1" x14ac:dyDescent="0.25">
      <c r="A40">
        <v>2019</v>
      </c>
      <c r="B40" t="s">
        <v>13</v>
      </c>
      <c r="C40">
        <v>2021</v>
      </c>
      <c r="D40">
        <v>158.61000000000001</v>
      </c>
      <c r="E40">
        <v>6</v>
      </c>
      <c r="F40">
        <v>763862.67</v>
      </c>
      <c r="G40">
        <v>330.67</v>
      </c>
      <c r="H40" s="2"/>
    </row>
    <row r="41" spans="1:8" hidden="1" x14ac:dyDescent="0.25">
      <c r="A41">
        <v>2019</v>
      </c>
      <c r="B41" t="s">
        <v>13</v>
      </c>
      <c r="C41">
        <v>2022</v>
      </c>
      <c r="D41">
        <v>733.34</v>
      </c>
      <c r="E41">
        <v>15</v>
      </c>
      <c r="F41">
        <v>722977.01</v>
      </c>
      <c r="G41">
        <v>327.93</v>
      </c>
      <c r="H41" s="2"/>
    </row>
    <row r="42" spans="1:8" hidden="1" x14ac:dyDescent="0.25">
      <c r="A42">
        <v>2019</v>
      </c>
      <c r="B42" t="s">
        <v>13</v>
      </c>
      <c r="C42">
        <v>2023</v>
      </c>
      <c r="D42">
        <v>656.72</v>
      </c>
      <c r="E42">
        <v>14</v>
      </c>
      <c r="F42">
        <v>764084.62</v>
      </c>
      <c r="G42">
        <v>331.93</v>
      </c>
      <c r="H42" s="2"/>
    </row>
    <row r="43" spans="1:8" hidden="1" x14ac:dyDescent="0.25">
      <c r="A43">
        <v>2019</v>
      </c>
      <c r="B43" t="s">
        <v>13</v>
      </c>
      <c r="C43">
        <v>2024</v>
      </c>
      <c r="D43">
        <v>1381.71</v>
      </c>
      <c r="E43">
        <v>33</v>
      </c>
      <c r="F43">
        <v>758691.67</v>
      </c>
      <c r="G43">
        <v>329.1</v>
      </c>
      <c r="H43" s="2"/>
    </row>
    <row r="44" spans="1:8" hidden="1" x14ac:dyDescent="0.25">
      <c r="A44">
        <v>2019</v>
      </c>
      <c r="B44" t="s">
        <v>14</v>
      </c>
      <c r="C44">
        <v>2019</v>
      </c>
      <c r="D44">
        <v>583.9</v>
      </c>
      <c r="E44">
        <v>19</v>
      </c>
      <c r="F44">
        <v>706343.75</v>
      </c>
      <c r="G44">
        <v>352.13</v>
      </c>
      <c r="H44" s="2">
        <f t="shared" ref="H44" si="5">SUM(E44:E49)</f>
        <v>134</v>
      </c>
    </row>
    <row r="45" spans="1:8" hidden="1" x14ac:dyDescent="0.25">
      <c r="A45">
        <v>2019</v>
      </c>
      <c r="B45" t="s">
        <v>14</v>
      </c>
      <c r="C45">
        <v>2020</v>
      </c>
      <c r="D45">
        <v>835.47</v>
      </c>
      <c r="E45">
        <v>19</v>
      </c>
      <c r="F45">
        <v>679316.41</v>
      </c>
      <c r="G45">
        <v>348.83</v>
      </c>
      <c r="H45" s="2"/>
    </row>
    <row r="46" spans="1:8" hidden="1" x14ac:dyDescent="0.25">
      <c r="A46">
        <v>2019</v>
      </c>
      <c r="B46" t="s">
        <v>14</v>
      </c>
      <c r="C46">
        <v>2021</v>
      </c>
      <c r="D46">
        <v>503.56</v>
      </c>
      <c r="E46">
        <v>17</v>
      </c>
      <c r="F46">
        <v>693926.44</v>
      </c>
      <c r="G46">
        <v>346.55</v>
      </c>
      <c r="H46" s="2"/>
    </row>
    <row r="47" spans="1:8" hidden="1" x14ac:dyDescent="0.25">
      <c r="A47">
        <v>2019</v>
      </c>
      <c r="B47" t="s">
        <v>14</v>
      </c>
      <c r="C47">
        <v>2022</v>
      </c>
      <c r="D47">
        <v>914.63</v>
      </c>
      <c r="E47">
        <v>20</v>
      </c>
      <c r="F47">
        <v>667230.43000000005</v>
      </c>
      <c r="G47">
        <v>346.4</v>
      </c>
      <c r="H47" s="2"/>
    </row>
    <row r="48" spans="1:8" hidden="1" x14ac:dyDescent="0.25">
      <c r="A48">
        <v>2019</v>
      </c>
      <c r="B48" t="s">
        <v>14</v>
      </c>
      <c r="C48">
        <v>2023</v>
      </c>
      <c r="D48">
        <v>1100.1500000000001</v>
      </c>
      <c r="E48">
        <v>22</v>
      </c>
      <c r="F48">
        <v>688740.82</v>
      </c>
      <c r="G48">
        <v>348.89</v>
      </c>
      <c r="H48" s="2"/>
    </row>
    <row r="49" spans="1:8" hidden="1" x14ac:dyDescent="0.25">
      <c r="A49">
        <v>2019</v>
      </c>
      <c r="B49" t="s">
        <v>14</v>
      </c>
      <c r="C49">
        <v>2024</v>
      </c>
      <c r="D49">
        <v>1834.29</v>
      </c>
      <c r="E49">
        <v>37</v>
      </c>
      <c r="F49">
        <v>698453.76</v>
      </c>
      <c r="G49">
        <v>348.76</v>
      </c>
      <c r="H49" s="2"/>
    </row>
    <row r="50" spans="1:8" hidden="1" x14ac:dyDescent="0.25">
      <c r="A50">
        <v>2019</v>
      </c>
      <c r="B50" t="s">
        <v>15</v>
      </c>
      <c r="C50">
        <v>2019</v>
      </c>
      <c r="D50">
        <v>524.28</v>
      </c>
      <c r="E50">
        <v>16</v>
      </c>
      <c r="F50">
        <v>753705.15</v>
      </c>
      <c r="G50">
        <v>352.68</v>
      </c>
      <c r="H50" s="2">
        <f t="shared" ref="H50" si="6">SUM(E50:E55)</f>
        <v>93</v>
      </c>
    </row>
    <row r="51" spans="1:8" hidden="1" x14ac:dyDescent="0.25">
      <c r="A51">
        <v>2019</v>
      </c>
      <c r="B51" t="s">
        <v>15</v>
      </c>
      <c r="C51">
        <v>2020</v>
      </c>
      <c r="D51">
        <v>515.21</v>
      </c>
      <c r="E51">
        <v>11</v>
      </c>
      <c r="F51">
        <v>727630.13</v>
      </c>
      <c r="G51">
        <v>349.38</v>
      </c>
      <c r="H51" s="2"/>
    </row>
    <row r="52" spans="1:8" hidden="1" x14ac:dyDescent="0.25">
      <c r="A52">
        <v>2019</v>
      </c>
      <c r="B52" t="s">
        <v>15</v>
      </c>
      <c r="C52">
        <v>2021</v>
      </c>
      <c r="D52">
        <v>482.64</v>
      </c>
      <c r="E52">
        <v>15</v>
      </c>
      <c r="F52">
        <v>741315.28</v>
      </c>
      <c r="G52">
        <v>348.49</v>
      </c>
      <c r="H52" s="2"/>
    </row>
    <row r="53" spans="1:8" hidden="1" x14ac:dyDescent="0.25">
      <c r="A53">
        <v>2019</v>
      </c>
      <c r="B53" t="s">
        <v>15</v>
      </c>
      <c r="C53">
        <v>2022</v>
      </c>
      <c r="D53">
        <v>655.58</v>
      </c>
      <c r="E53">
        <v>12</v>
      </c>
      <c r="F53">
        <v>715432.33</v>
      </c>
      <c r="G53">
        <v>349.46</v>
      </c>
      <c r="H53" s="2"/>
    </row>
    <row r="54" spans="1:8" hidden="1" x14ac:dyDescent="0.25">
      <c r="A54">
        <v>2019</v>
      </c>
      <c r="B54" t="s">
        <v>15</v>
      </c>
      <c r="C54">
        <v>2023</v>
      </c>
      <c r="D54">
        <v>774.19</v>
      </c>
      <c r="E54">
        <v>12</v>
      </c>
      <c r="F54">
        <v>734248.44</v>
      </c>
      <c r="G54">
        <v>350.81</v>
      </c>
      <c r="H54" s="2"/>
    </row>
    <row r="55" spans="1:8" hidden="1" x14ac:dyDescent="0.25">
      <c r="A55">
        <v>2019</v>
      </c>
      <c r="B55" t="s">
        <v>15</v>
      </c>
      <c r="C55">
        <v>2024</v>
      </c>
      <c r="D55">
        <v>1426.57</v>
      </c>
      <c r="E55">
        <v>27</v>
      </c>
      <c r="F55">
        <v>743434.51</v>
      </c>
      <c r="G55">
        <v>350.1</v>
      </c>
      <c r="H55" s="2"/>
    </row>
    <row r="56" spans="1:8" hidden="1" x14ac:dyDescent="0.25">
      <c r="A56">
        <v>2019</v>
      </c>
      <c r="B56" t="s">
        <v>16</v>
      </c>
      <c r="C56">
        <v>2019</v>
      </c>
      <c r="D56">
        <v>564.99</v>
      </c>
      <c r="E56">
        <v>18</v>
      </c>
      <c r="F56">
        <v>738073.75</v>
      </c>
      <c r="G56">
        <v>382.96</v>
      </c>
      <c r="H56" s="2">
        <f t="shared" ref="H56" si="7">SUM(E56:E61)</f>
        <v>152</v>
      </c>
    </row>
    <row r="57" spans="1:8" hidden="1" x14ac:dyDescent="0.25">
      <c r="A57">
        <v>2019</v>
      </c>
      <c r="B57" t="s">
        <v>16</v>
      </c>
      <c r="C57">
        <v>2020</v>
      </c>
      <c r="D57">
        <v>1122.97</v>
      </c>
      <c r="E57">
        <v>23</v>
      </c>
      <c r="F57">
        <v>714841.03</v>
      </c>
      <c r="G57">
        <v>384.9</v>
      </c>
      <c r="H57" s="2"/>
    </row>
    <row r="58" spans="1:8" hidden="1" x14ac:dyDescent="0.25">
      <c r="A58">
        <v>2019</v>
      </c>
      <c r="B58" t="s">
        <v>16</v>
      </c>
      <c r="C58">
        <v>2021</v>
      </c>
      <c r="D58">
        <v>564.95000000000005</v>
      </c>
      <c r="E58">
        <v>16</v>
      </c>
      <c r="F58">
        <v>724082.66</v>
      </c>
      <c r="G58">
        <v>379.07</v>
      </c>
      <c r="H58" s="2"/>
    </row>
    <row r="59" spans="1:8" hidden="1" x14ac:dyDescent="0.25">
      <c r="A59">
        <v>2019</v>
      </c>
      <c r="B59" t="s">
        <v>16</v>
      </c>
      <c r="C59">
        <v>2022</v>
      </c>
      <c r="D59">
        <v>1229.1600000000001</v>
      </c>
      <c r="E59">
        <v>32</v>
      </c>
      <c r="F59">
        <v>685298.37</v>
      </c>
      <c r="G59">
        <v>373.6</v>
      </c>
      <c r="H59" s="2"/>
    </row>
    <row r="60" spans="1:8" hidden="1" x14ac:dyDescent="0.25">
      <c r="A60">
        <v>2019</v>
      </c>
      <c r="B60" t="s">
        <v>16</v>
      </c>
      <c r="C60">
        <v>2023</v>
      </c>
      <c r="D60">
        <v>1241.69</v>
      </c>
      <c r="E60">
        <v>22</v>
      </c>
      <c r="F60">
        <v>724033.02</v>
      </c>
      <c r="G60">
        <v>380.57</v>
      </c>
      <c r="H60" s="2"/>
    </row>
    <row r="61" spans="1:8" hidden="1" x14ac:dyDescent="0.25">
      <c r="A61">
        <v>2019</v>
      </c>
      <c r="B61" t="s">
        <v>16</v>
      </c>
      <c r="C61">
        <v>2024</v>
      </c>
      <c r="D61">
        <v>1826.46</v>
      </c>
      <c r="E61">
        <v>41</v>
      </c>
      <c r="F61">
        <v>733865.74</v>
      </c>
      <c r="G61">
        <v>379.29</v>
      </c>
      <c r="H61" s="2"/>
    </row>
    <row r="62" spans="1:8" hidden="1" x14ac:dyDescent="0.25">
      <c r="A62">
        <v>2019</v>
      </c>
      <c r="B62" t="s">
        <v>17</v>
      </c>
      <c r="C62">
        <v>2019</v>
      </c>
      <c r="D62">
        <v>467.44</v>
      </c>
      <c r="E62">
        <v>15</v>
      </c>
      <c r="F62">
        <v>758782.91</v>
      </c>
      <c r="G62">
        <v>404.26</v>
      </c>
      <c r="H62" s="2">
        <f t="shared" ref="H62" si="8">SUM(E62:E67)</f>
        <v>126</v>
      </c>
    </row>
    <row r="63" spans="1:8" hidden="1" x14ac:dyDescent="0.25">
      <c r="A63">
        <v>2019</v>
      </c>
      <c r="B63" t="s">
        <v>17</v>
      </c>
      <c r="C63">
        <v>2020</v>
      </c>
      <c r="D63">
        <v>1103.79</v>
      </c>
      <c r="E63">
        <v>22</v>
      </c>
      <c r="F63">
        <v>733625.04</v>
      </c>
      <c r="G63">
        <v>405.68</v>
      </c>
      <c r="H63" s="2"/>
    </row>
    <row r="64" spans="1:8" hidden="1" x14ac:dyDescent="0.25">
      <c r="A64">
        <v>2019</v>
      </c>
      <c r="B64" t="s">
        <v>17</v>
      </c>
      <c r="C64">
        <v>2021</v>
      </c>
      <c r="D64">
        <v>359.36</v>
      </c>
      <c r="E64">
        <v>12</v>
      </c>
      <c r="F64">
        <v>744025.64</v>
      </c>
      <c r="G64">
        <v>400.41</v>
      </c>
      <c r="H64" s="2"/>
    </row>
    <row r="65" spans="1:8" hidden="1" x14ac:dyDescent="0.25">
      <c r="A65">
        <v>2019</v>
      </c>
      <c r="B65" t="s">
        <v>17</v>
      </c>
      <c r="C65">
        <v>2022</v>
      </c>
      <c r="D65">
        <v>1047.55</v>
      </c>
      <c r="E65">
        <v>29</v>
      </c>
      <c r="F65">
        <v>704631.56</v>
      </c>
      <c r="G65">
        <v>394.45</v>
      </c>
      <c r="H65" s="2"/>
    </row>
    <row r="66" spans="1:8" hidden="1" x14ac:dyDescent="0.25">
      <c r="A66">
        <v>2019</v>
      </c>
      <c r="B66" t="s">
        <v>17</v>
      </c>
      <c r="C66">
        <v>2023</v>
      </c>
      <c r="D66">
        <v>1112.54</v>
      </c>
      <c r="E66">
        <v>20</v>
      </c>
      <c r="F66">
        <v>743784.57</v>
      </c>
      <c r="G66">
        <v>401.72</v>
      </c>
      <c r="H66" s="2"/>
    </row>
    <row r="67" spans="1:8" hidden="1" x14ac:dyDescent="0.25">
      <c r="A67">
        <v>2019</v>
      </c>
      <c r="B67" t="s">
        <v>17</v>
      </c>
      <c r="C67">
        <v>2024</v>
      </c>
      <c r="D67">
        <v>1334.4</v>
      </c>
      <c r="E67">
        <v>28</v>
      </c>
      <c r="F67">
        <v>755115.6</v>
      </c>
      <c r="G67">
        <v>400.69</v>
      </c>
      <c r="H67" s="2"/>
    </row>
    <row r="68" spans="1:8" hidden="1" x14ac:dyDescent="0.25">
      <c r="A68">
        <v>2019</v>
      </c>
      <c r="B68" t="s">
        <v>18</v>
      </c>
      <c r="C68">
        <v>2019</v>
      </c>
      <c r="D68">
        <v>452.42</v>
      </c>
      <c r="E68">
        <v>7</v>
      </c>
      <c r="F68">
        <v>537390.61</v>
      </c>
      <c r="G68">
        <v>410.39</v>
      </c>
      <c r="H68" s="2">
        <f t="shared" ref="H68" si="9">SUM(E68:E73)</f>
        <v>201</v>
      </c>
    </row>
    <row r="69" spans="1:8" hidden="1" x14ac:dyDescent="0.25">
      <c r="A69">
        <v>2019</v>
      </c>
      <c r="B69" t="s">
        <v>18</v>
      </c>
      <c r="C69">
        <v>2020</v>
      </c>
      <c r="D69">
        <v>889.79</v>
      </c>
      <c r="E69">
        <v>19</v>
      </c>
      <c r="F69">
        <v>517919.09</v>
      </c>
      <c r="G69">
        <v>403.31</v>
      </c>
      <c r="H69" s="2"/>
    </row>
    <row r="70" spans="1:8" hidden="1" x14ac:dyDescent="0.25">
      <c r="A70">
        <v>2019</v>
      </c>
      <c r="B70" t="s">
        <v>18</v>
      </c>
      <c r="C70">
        <v>2021</v>
      </c>
      <c r="D70">
        <v>2559.14</v>
      </c>
      <c r="E70">
        <v>46</v>
      </c>
      <c r="F70">
        <v>512064.27</v>
      </c>
      <c r="G70">
        <v>399.15</v>
      </c>
      <c r="H70" s="2"/>
    </row>
    <row r="71" spans="1:8" hidden="1" x14ac:dyDescent="0.25">
      <c r="A71">
        <v>2019</v>
      </c>
      <c r="B71" t="s">
        <v>18</v>
      </c>
      <c r="C71">
        <v>2022</v>
      </c>
      <c r="D71">
        <v>4035.44</v>
      </c>
      <c r="E71">
        <v>77</v>
      </c>
      <c r="F71">
        <v>505028.63</v>
      </c>
      <c r="G71">
        <v>388.26</v>
      </c>
      <c r="H71" s="2"/>
    </row>
    <row r="72" spans="1:8" hidden="1" x14ac:dyDescent="0.25">
      <c r="A72">
        <v>2019</v>
      </c>
      <c r="B72" t="s">
        <v>18</v>
      </c>
      <c r="C72">
        <v>2023</v>
      </c>
      <c r="D72">
        <v>1151.3699999999999</v>
      </c>
      <c r="E72">
        <v>21</v>
      </c>
      <c r="F72">
        <v>524983.92000000004</v>
      </c>
      <c r="G72">
        <v>406.88</v>
      </c>
      <c r="H72" s="2"/>
    </row>
    <row r="73" spans="1:8" hidden="1" x14ac:dyDescent="0.25">
      <c r="A73">
        <v>2019</v>
      </c>
      <c r="B73" t="s">
        <v>18</v>
      </c>
      <c r="C73">
        <v>2024</v>
      </c>
      <c r="D73">
        <v>1474.18</v>
      </c>
      <c r="E73">
        <v>31</v>
      </c>
      <c r="F73">
        <v>502350.85</v>
      </c>
      <c r="G73">
        <v>393.74</v>
      </c>
      <c r="H73" s="2"/>
    </row>
    <row r="74" spans="1:8" hidden="1" x14ac:dyDescent="0.25">
      <c r="A74">
        <v>2019</v>
      </c>
      <c r="B74" t="s">
        <v>19</v>
      </c>
      <c r="C74">
        <v>2019</v>
      </c>
      <c r="D74">
        <v>478.7</v>
      </c>
      <c r="E74">
        <v>9</v>
      </c>
      <c r="F74">
        <v>675026.09</v>
      </c>
      <c r="G74">
        <v>359.21</v>
      </c>
      <c r="H74" s="2">
        <f t="shared" ref="H74" si="10">SUM(E74:E79)</f>
        <v>76</v>
      </c>
    </row>
    <row r="75" spans="1:8" hidden="1" x14ac:dyDescent="0.25">
      <c r="A75">
        <v>2019</v>
      </c>
      <c r="B75" t="s">
        <v>19</v>
      </c>
      <c r="C75">
        <v>2020</v>
      </c>
      <c r="D75">
        <v>346.19</v>
      </c>
      <c r="E75">
        <v>7</v>
      </c>
      <c r="F75">
        <v>651420.66</v>
      </c>
      <c r="G75">
        <v>357.66</v>
      </c>
      <c r="H75" s="2"/>
    </row>
    <row r="76" spans="1:8" hidden="1" x14ac:dyDescent="0.25">
      <c r="A76">
        <v>2019</v>
      </c>
      <c r="B76" t="s">
        <v>19</v>
      </c>
      <c r="C76">
        <v>2021</v>
      </c>
      <c r="D76">
        <v>609.96</v>
      </c>
      <c r="E76">
        <v>11</v>
      </c>
      <c r="F76">
        <v>648424.68999999994</v>
      </c>
      <c r="G76">
        <v>356.15</v>
      </c>
      <c r="H76" s="2"/>
    </row>
    <row r="77" spans="1:8" hidden="1" x14ac:dyDescent="0.25">
      <c r="A77">
        <v>2019</v>
      </c>
      <c r="B77" t="s">
        <v>19</v>
      </c>
      <c r="C77">
        <v>2022</v>
      </c>
      <c r="D77">
        <v>1510.98</v>
      </c>
      <c r="E77">
        <v>32</v>
      </c>
      <c r="F77">
        <v>634460.98</v>
      </c>
      <c r="G77">
        <v>352.58</v>
      </c>
      <c r="H77" s="2"/>
    </row>
    <row r="78" spans="1:8" hidden="1" x14ac:dyDescent="0.25">
      <c r="A78">
        <v>2019</v>
      </c>
      <c r="B78" t="s">
        <v>19</v>
      </c>
      <c r="C78">
        <v>2023</v>
      </c>
      <c r="D78">
        <v>272.42</v>
      </c>
      <c r="E78">
        <v>5</v>
      </c>
      <c r="F78">
        <v>658490.46</v>
      </c>
      <c r="G78">
        <v>360.23</v>
      </c>
      <c r="H78" s="2"/>
    </row>
    <row r="79" spans="1:8" hidden="1" x14ac:dyDescent="0.25">
      <c r="A79">
        <v>2019</v>
      </c>
      <c r="B79" t="s">
        <v>19</v>
      </c>
      <c r="C79">
        <v>2024</v>
      </c>
      <c r="D79">
        <v>646.96</v>
      </c>
      <c r="E79">
        <v>12</v>
      </c>
      <c r="F79">
        <v>625210.51</v>
      </c>
      <c r="G79">
        <v>351.81</v>
      </c>
      <c r="H79" s="2"/>
    </row>
    <row r="80" spans="1:8" hidden="1" x14ac:dyDescent="0.25">
      <c r="A80">
        <v>2019</v>
      </c>
      <c r="B80" t="s">
        <v>20</v>
      </c>
      <c r="C80">
        <v>2019</v>
      </c>
      <c r="D80">
        <v>476.17</v>
      </c>
      <c r="E80">
        <v>15</v>
      </c>
      <c r="F80">
        <v>676481.58</v>
      </c>
      <c r="G80">
        <v>274.81</v>
      </c>
      <c r="H80" s="2">
        <f t="shared" ref="H80" si="11">SUM(E80:E85)</f>
        <v>101</v>
      </c>
    </row>
    <row r="81" spans="1:8" hidden="1" x14ac:dyDescent="0.25">
      <c r="A81">
        <v>2019</v>
      </c>
      <c r="B81" t="s">
        <v>20</v>
      </c>
      <c r="C81">
        <v>2020</v>
      </c>
      <c r="D81">
        <v>427.37</v>
      </c>
      <c r="E81">
        <v>15</v>
      </c>
      <c r="F81">
        <v>662273.73</v>
      </c>
      <c r="G81">
        <v>271.36</v>
      </c>
      <c r="H81" s="2"/>
    </row>
    <row r="82" spans="1:8" hidden="1" x14ac:dyDescent="0.25">
      <c r="A82">
        <v>2019</v>
      </c>
      <c r="B82" t="s">
        <v>20</v>
      </c>
      <c r="C82">
        <v>2021</v>
      </c>
      <c r="D82">
        <v>1466.58</v>
      </c>
      <c r="E82">
        <v>41</v>
      </c>
      <c r="F82">
        <v>628182.93000000005</v>
      </c>
      <c r="G82">
        <v>265.63</v>
      </c>
      <c r="H82" s="2"/>
    </row>
    <row r="83" spans="1:8" hidden="1" x14ac:dyDescent="0.25">
      <c r="A83">
        <v>2019</v>
      </c>
      <c r="B83" t="s">
        <v>20</v>
      </c>
      <c r="C83">
        <v>2022</v>
      </c>
      <c r="D83">
        <v>211.06</v>
      </c>
      <c r="E83">
        <v>11</v>
      </c>
      <c r="F83">
        <v>626786.53</v>
      </c>
      <c r="G83">
        <v>272.87</v>
      </c>
      <c r="H83" s="2"/>
    </row>
    <row r="84" spans="1:8" hidden="1" x14ac:dyDescent="0.25">
      <c r="A84">
        <v>2019</v>
      </c>
      <c r="B84" t="s">
        <v>20</v>
      </c>
      <c r="C84">
        <v>2023</v>
      </c>
      <c r="D84">
        <v>185.33</v>
      </c>
      <c r="E84">
        <v>9</v>
      </c>
      <c r="F84">
        <v>657801.6</v>
      </c>
      <c r="G84">
        <v>272.77</v>
      </c>
      <c r="H84" s="2"/>
    </row>
    <row r="85" spans="1:8" hidden="1" x14ac:dyDescent="0.25">
      <c r="A85">
        <v>2019</v>
      </c>
      <c r="B85" t="s">
        <v>20</v>
      </c>
      <c r="C85">
        <v>2024</v>
      </c>
      <c r="D85">
        <v>155.86000000000001</v>
      </c>
      <c r="E85">
        <v>10</v>
      </c>
      <c r="F85">
        <v>645300.9</v>
      </c>
      <c r="G85">
        <v>273.97000000000003</v>
      </c>
      <c r="H85" s="2"/>
    </row>
    <row r="86" spans="1:8" hidden="1" x14ac:dyDescent="0.25">
      <c r="A86">
        <v>2019</v>
      </c>
      <c r="B86" t="s">
        <v>21</v>
      </c>
      <c r="C86">
        <v>2019</v>
      </c>
      <c r="D86">
        <v>130.5</v>
      </c>
      <c r="E86">
        <v>10</v>
      </c>
      <c r="F86">
        <v>676099.19</v>
      </c>
      <c r="G86">
        <v>273.01</v>
      </c>
      <c r="H86" s="2">
        <f t="shared" ref="H86" si="12">SUM(E86:E91)</f>
        <v>108</v>
      </c>
    </row>
    <row r="87" spans="1:8" hidden="1" x14ac:dyDescent="0.25">
      <c r="A87">
        <v>2019</v>
      </c>
      <c r="B87" t="s">
        <v>21</v>
      </c>
      <c r="C87">
        <v>2020</v>
      </c>
      <c r="D87">
        <v>326.22000000000003</v>
      </c>
      <c r="E87">
        <v>18</v>
      </c>
      <c r="F87">
        <v>660131.39</v>
      </c>
      <c r="G87">
        <v>270.85000000000002</v>
      </c>
      <c r="H87" s="2"/>
    </row>
    <row r="88" spans="1:8" hidden="1" x14ac:dyDescent="0.25">
      <c r="A88">
        <v>2019</v>
      </c>
      <c r="B88" t="s">
        <v>21</v>
      </c>
      <c r="C88">
        <v>2021</v>
      </c>
      <c r="D88">
        <v>1017.35</v>
      </c>
      <c r="E88">
        <v>39</v>
      </c>
      <c r="F88">
        <v>627514.68000000005</v>
      </c>
      <c r="G88">
        <v>264.18</v>
      </c>
      <c r="H88" s="2"/>
    </row>
    <row r="89" spans="1:8" hidden="1" x14ac:dyDescent="0.25">
      <c r="A89">
        <v>2019</v>
      </c>
      <c r="B89" t="s">
        <v>21</v>
      </c>
      <c r="C89">
        <v>2022</v>
      </c>
      <c r="D89">
        <v>329.53</v>
      </c>
      <c r="E89">
        <v>21</v>
      </c>
      <c r="F89">
        <v>625432.44999999995</v>
      </c>
      <c r="G89">
        <v>270.41000000000003</v>
      </c>
      <c r="H89" s="2"/>
    </row>
    <row r="90" spans="1:8" hidden="1" x14ac:dyDescent="0.25">
      <c r="A90">
        <v>2019</v>
      </c>
      <c r="B90" t="s">
        <v>21</v>
      </c>
      <c r="C90">
        <v>2023</v>
      </c>
      <c r="D90">
        <v>233.81</v>
      </c>
      <c r="E90">
        <v>11</v>
      </c>
      <c r="F90">
        <v>656262.44999999995</v>
      </c>
      <c r="G90">
        <v>270.33999999999997</v>
      </c>
      <c r="H90" s="2"/>
    </row>
    <row r="91" spans="1:8" hidden="1" x14ac:dyDescent="0.25">
      <c r="A91">
        <v>2019</v>
      </c>
      <c r="B91" t="s">
        <v>21</v>
      </c>
      <c r="C91">
        <v>2024</v>
      </c>
      <c r="D91">
        <v>109.31</v>
      </c>
      <c r="E91">
        <v>9</v>
      </c>
      <c r="F91">
        <v>646809.79</v>
      </c>
      <c r="G91">
        <v>273.05</v>
      </c>
      <c r="H91" s="2"/>
    </row>
    <row r="92" spans="1:8" hidden="1" x14ac:dyDescent="0.25">
      <c r="A92">
        <v>2019</v>
      </c>
      <c r="B92" t="s">
        <v>22</v>
      </c>
      <c r="C92">
        <v>2019</v>
      </c>
      <c r="D92">
        <v>410.08</v>
      </c>
      <c r="E92">
        <v>8</v>
      </c>
      <c r="F92">
        <v>663824.78</v>
      </c>
      <c r="G92">
        <v>455.54</v>
      </c>
      <c r="H92" s="2">
        <f t="shared" ref="H92" si="13">SUM(E92:E97)</f>
        <v>275</v>
      </c>
    </row>
    <row r="93" spans="1:8" hidden="1" x14ac:dyDescent="0.25">
      <c r="A93">
        <v>2019</v>
      </c>
      <c r="B93" t="s">
        <v>22</v>
      </c>
      <c r="C93">
        <v>2020</v>
      </c>
      <c r="D93">
        <v>3403.25</v>
      </c>
      <c r="E93">
        <v>69</v>
      </c>
      <c r="F93">
        <v>610354.47</v>
      </c>
      <c r="G93">
        <v>428.49</v>
      </c>
      <c r="H93" s="2"/>
    </row>
    <row r="94" spans="1:8" hidden="1" x14ac:dyDescent="0.25">
      <c r="A94">
        <v>2019</v>
      </c>
      <c r="B94" t="s">
        <v>22</v>
      </c>
      <c r="C94">
        <v>2021</v>
      </c>
      <c r="D94">
        <v>4309.9799999999996</v>
      </c>
      <c r="E94">
        <v>80</v>
      </c>
      <c r="F94">
        <v>633976.56999999995</v>
      </c>
      <c r="G94">
        <v>435.39</v>
      </c>
      <c r="H94" s="2"/>
    </row>
    <row r="95" spans="1:8" hidden="1" x14ac:dyDescent="0.25">
      <c r="A95">
        <v>2019</v>
      </c>
      <c r="B95" t="s">
        <v>22</v>
      </c>
      <c r="C95">
        <v>2022</v>
      </c>
      <c r="D95">
        <v>3165.46</v>
      </c>
      <c r="E95">
        <v>64</v>
      </c>
      <c r="F95">
        <v>599460.81999999995</v>
      </c>
      <c r="G95">
        <v>425.56</v>
      </c>
      <c r="H95" s="2"/>
    </row>
    <row r="96" spans="1:8" hidden="1" x14ac:dyDescent="0.25">
      <c r="A96">
        <v>2019</v>
      </c>
      <c r="B96" t="s">
        <v>22</v>
      </c>
      <c r="C96">
        <v>2023</v>
      </c>
      <c r="D96">
        <v>1278.32</v>
      </c>
      <c r="E96">
        <v>25</v>
      </c>
      <c r="F96">
        <v>641648.81000000006</v>
      </c>
      <c r="G96">
        <v>450.87</v>
      </c>
      <c r="H96" s="2"/>
    </row>
    <row r="97" spans="1:8" hidden="1" x14ac:dyDescent="0.25">
      <c r="A97">
        <v>2019</v>
      </c>
      <c r="B97" t="s">
        <v>22</v>
      </c>
      <c r="C97">
        <v>2024</v>
      </c>
      <c r="D97">
        <v>1462.71</v>
      </c>
      <c r="E97">
        <v>29</v>
      </c>
      <c r="F97">
        <v>638637.01</v>
      </c>
      <c r="G97">
        <v>443.19</v>
      </c>
      <c r="H97" s="2"/>
    </row>
    <row r="98" spans="1:8" hidden="1" x14ac:dyDescent="0.25">
      <c r="A98">
        <v>2019</v>
      </c>
      <c r="B98" t="s">
        <v>23</v>
      </c>
      <c r="C98">
        <v>2019</v>
      </c>
      <c r="D98">
        <v>230.46</v>
      </c>
      <c r="E98">
        <v>10</v>
      </c>
      <c r="F98">
        <v>544256.82999999996</v>
      </c>
      <c r="G98">
        <v>282.63</v>
      </c>
      <c r="H98" s="2">
        <f t="shared" ref="H98" si="14">SUM(E98:E103)</f>
        <v>206</v>
      </c>
    </row>
    <row r="99" spans="1:8" hidden="1" x14ac:dyDescent="0.25">
      <c r="A99">
        <v>2019</v>
      </c>
      <c r="B99" t="s">
        <v>23</v>
      </c>
      <c r="C99">
        <v>2020</v>
      </c>
      <c r="D99">
        <v>1768.85</v>
      </c>
      <c r="E99">
        <v>48</v>
      </c>
      <c r="F99">
        <v>530143.18000000005</v>
      </c>
      <c r="G99">
        <v>275.63</v>
      </c>
      <c r="H99" s="2"/>
    </row>
    <row r="100" spans="1:8" hidden="1" x14ac:dyDescent="0.25">
      <c r="A100">
        <v>2019</v>
      </c>
      <c r="B100" t="s">
        <v>23</v>
      </c>
      <c r="C100">
        <v>2021</v>
      </c>
      <c r="D100">
        <v>557.61</v>
      </c>
      <c r="E100">
        <v>23</v>
      </c>
      <c r="F100">
        <v>507786.16</v>
      </c>
      <c r="G100">
        <v>273.12</v>
      </c>
      <c r="H100" s="2"/>
    </row>
    <row r="101" spans="1:8" hidden="1" x14ac:dyDescent="0.25">
      <c r="A101">
        <v>2019</v>
      </c>
      <c r="B101" t="s">
        <v>23</v>
      </c>
      <c r="C101">
        <v>2022</v>
      </c>
      <c r="D101">
        <v>2377.19</v>
      </c>
      <c r="E101">
        <v>53</v>
      </c>
      <c r="F101">
        <v>507895.44</v>
      </c>
      <c r="G101">
        <v>274.26</v>
      </c>
      <c r="H101" s="2"/>
    </row>
    <row r="102" spans="1:8" hidden="1" x14ac:dyDescent="0.25">
      <c r="A102">
        <v>2019</v>
      </c>
      <c r="B102" t="s">
        <v>23</v>
      </c>
      <c r="C102">
        <v>2023</v>
      </c>
      <c r="D102">
        <v>1561.5</v>
      </c>
      <c r="E102">
        <v>38</v>
      </c>
      <c r="F102">
        <v>524278.14</v>
      </c>
      <c r="G102">
        <v>275.16000000000003</v>
      </c>
      <c r="H102" s="2"/>
    </row>
    <row r="103" spans="1:8" hidden="1" x14ac:dyDescent="0.25">
      <c r="A103">
        <v>2019</v>
      </c>
      <c r="B103" t="s">
        <v>23</v>
      </c>
      <c r="C103">
        <v>2024</v>
      </c>
      <c r="D103">
        <v>1115.7</v>
      </c>
      <c r="E103">
        <v>34</v>
      </c>
      <c r="F103">
        <v>517919.04</v>
      </c>
      <c r="G103">
        <v>273.37</v>
      </c>
      <c r="H103" s="2"/>
    </row>
    <row r="104" spans="1:8" hidden="1" x14ac:dyDescent="0.25">
      <c r="A104">
        <v>2019</v>
      </c>
      <c r="B104" t="s">
        <v>24</v>
      </c>
      <c r="C104">
        <v>2019</v>
      </c>
      <c r="D104">
        <v>349.22</v>
      </c>
      <c r="E104">
        <v>7</v>
      </c>
      <c r="F104">
        <v>628568.4</v>
      </c>
      <c r="G104">
        <v>411.69</v>
      </c>
      <c r="H104" s="2">
        <f t="shared" ref="H104" si="15">SUM(E104:E109)</f>
        <v>118</v>
      </c>
    </row>
    <row r="105" spans="1:8" hidden="1" x14ac:dyDescent="0.25">
      <c r="A105">
        <v>2019</v>
      </c>
      <c r="B105" t="s">
        <v>24</v>
      </c>
      <c r="C105">
        <v>2020</v>
      </c>
      <c r="D105">
        <v>318.2</v>
      </c>
      <c r="E105">
        <v>5</v>
      </c>
      <c r="F105">
        <v>604924.01</v>
      </c>
      <c r="G105">
        <v>409.85</v>
      </c>
      <c r="H105" s="2"/>
    </row>
    <row r="106" spans="1:8" hidden="1" x14ac:dyDescent="0.25">
      <c r="A106">
        <v>2019</v>
      </c>
      <c r="B106" t="s">
        <v>24</v>
      </c>
      <c r="C106">
        <v>2021</v>
      </c>
      <c r="D106">
        <v>1451.25</v>
      </c>
      <c r="E106">
        <v>27</v>
      </c>
      <c r="F106">
        <v>601032.13</v>
      </c>
      <c r="G106">
        <v>402.91</v>
      </c>
      <c r="H106" s="2"/>
    </row>
    <row r="107" spans="1:8" hidden="1" x14ac:dyDescent="0.25">
      <c r="A107">
        <v>2019</v>
      </c>
      <c r="B107" t="s">
        <v>24</v>
      </c>
      <c r="C107">
        <v>2022</v>
      </c>
      <c r="D107">
        <v>2243.4499999999998</v>
      </c>
      <c r="E107">
        <v>40</v>
      </c>
      <c r="F107">
        <v>590469.65</v>
      </c>
      <c r="G107">
        <v>397.74</v>
      </c>
      <c r="H107" s="2"/>
    </row>
    <row r="108" spans="1:8" hidden="1" x14ac:dyDescent="0.25">
      <c r="A108">
        <v>2019</v>
      </c>
      <c r="B108" t="s">
        <v>24</v>
      </c>
      <c r="C108">
        <v>2023</v>
      </c>
      <c r="D108">
        <v>524.96</v>
      </c>
      <c r="E108">
        <v>9</v>
      </c>
      <c r="F108">
        <v>615619.39</v>
      </c>
      <c r="G108">
        <v>412.68</v>
      </c>
      <c r="H108" s="2"/>
    </row>
    <row r="109" spans="1:8" hidden="1" x14ac:dyDescent="0.25">
      <c r="A109">
        <v>2019</v>
      </c>
      <c r="B109" t="s">
        <v>24</v>
      </c>
      <c r="C109">
        <v>2024</v>
      </c>
      <c r="D109">
        <v>1491.55</v>
      </c>
      <c r="E109">
        <v>30</v>
      </c>
      <c r="F109">
        <v>582166.64</v>
      </c>
      <c r="G109">
        <v>399.19</v>
      </c>
      <c r="H109" s="2"/>
    </row>
    <row r="110" spans="1:8" hidden="1" x14ac:dyDescent="0.25">
      <c r="A110">
        <v>2019</v>
      </c>
      <c r="B110" t="s">
        <v>25</v>
      </c>
      <c r="C110">
        <v>2019</v>
      </c>
      <c r="D110">
        <v>191.93</v>
      </c>
      <c r="E110">
        <v>9</v>
      </c>
      <c r="F110">
        <v>570936.37</v>
      </c>
      <c r="G110">
        <v>302.86</v>
      </c>
      <c r="H110" s="2">
        <f t="shared" ref="H110" si="16">SUM(E110:E115)</f>
        <v>111</v>
      </c>
    </row>
    <row r="111" spans="1:8" hidden="1" x14ac:dyDescent="0.25">
      <c r="A111">
        <v>2019</v>
      </c>
      <c r="B111" t="s">
        <v>25</v>
      </c>
      <c r="C111">
        <v>2020</v>
      </c>
      <c r="D111">
        <v>573.19000000000005</v>
      </c>
      <c r="E111">
        <v>16</v>
      </c>
      <c r="F111">
        <v>567680.14</v>
      </c>
      <c r="G111">
        <v>301.43</v>
      </c>
      <c r="H111" s="2"/>
    </row>
    <row r="112" spans="1:8" hidden="1" x14ac:dyDescent="0.25">
      <c r="A112">
        <v>2019</v>
      </c>
      <c r="B112" t="s">
        <v>25</v>
      </c>
      <c r="C112">
        <v>2021</v>
      </c>
      <c r="D112">
        <v>866.51</v>
      </c>
      <c r="E112">
        <v>23</v>
      </c>
      <c r="F112">
        <v>546592.29</v>
      </c>
      <c r="G112">
        <v>296.47000000000003</v>
      </c>
      <c r="H112" s="2"/>
    </row>
    <row r="113" spans="1:8" hidden="1" x14ac:dyDescent="0.25">
      <c r="A113">
        <v>2019</v>
      </c>
      <c r="B113" t="s">
        <v>25</v>
      </c>
      <c r="C113">
        <v>2022</v>
      </c>
      <c r="D113">
        <v>1533.37</v>
      </c>
      <c r="E113">
        <v>35</v>
      </c>
      <c r="F113">
        <v>550784.88</v>
      </c>
      <c r="G113">
        <v>298.31</v>
      </c>
      <c r="H113" s="2"/>
    </row>
    <row r="114" spans="1:8" hidden="1" x14ac:dyDescent="0.25">
      <c r="A114">
        <v>2019</v>
      </c>
      <c r="B114" t="s">
        <v>25</v>
      </c>
      <c r="C114">
        <v>2023</v>
      </c>
      <c r="D114">
        <v>257.45999999999998</v>
      </c>
      <c r="E114">
        <v>10</v>
      </c>
      <c r="F114">
        <v>564139.41</v>
      </c>
      <c r="G114">
        <v>300.58999999999997</v>
      </c>
      <c r="H114" s="2"/>
    </row>
    <row r="115" spans="1:8" hidden="1" x14ac:dyDescent="0.25">
      <c r="A115">
        <v>2019</v>
      </c>
      <c r="B115" t="s">
        <v>25</v>
      </c>
      <c r="C115">
        <v>2024</v>
      </c>
      <c r="D115">
        <v>622.76</v>
      </c>
      <c r="E115">
        <v>18</v>
      </c>
      <c r="F115">
        <v>556331.49</v>
      </c>
      <c r="G115">
        <v>302.01</v>
      </c>
      <c r="H115" s="2"/>
    </row>
    <row r="116" spans="1:8" hidden="1" x14ac:dyDescent="0.25">
      <c r="A116">
        <v>2019</v>
      </c>
      <c r="B116" t="s">
        <v>26</v>
      </c>
      <c r="C116">
        <v>2019</v>
      </c>
      <c r="D116">
        <v>54.48</v>
      </c>
      <c r="E116">
        <v>8</v>
      </c>
      <c r="F116">
        <v>531075.92000000004</v>
      </c>
      <c r="G116">
        <v>290.02999999999997</v>
      </c>
      <c r="H116" s="2">
        <f t="shared" ref="H116" si="17">SUM(E116:E121)</f>
        <v>244</v>
      </c>
    </row>
    <row r="117" spans="1:8" hidden="1" x14ac:dyDescent="0.25">
      <c r="A117">
        <v>2019</v>
      </c>
      <c r="B117" t="s">
        <v>26</v>
      </c>
      <c r="C117">
        <v>2020</v>
      </c>
      <c r="D117">
        <v>1520.57</v>
      </c>
      <c r="E117">
        <v>48</v>
      </c>
      <c r="F117">
        <v>514915.18</v>
      </c>
      <c r="G117">
        <v>274.95</v>
      </c>
      <c r="H117" s="2"/>
    </row>
    <row r="118" spans="1:8" hidden="1" x14ac:dyDescent="0.25">
      <c r="A118">
        <v>2019</v>
      </c>
      <c r="B118" t="s">
        <v>26</v>
      </c>
      <c r="C118">
        <v>2021</v>
      </c>
      <c r="D118">
        <v>2286.62</v>
      </c>
      <c r="E118">
        <v>64</v>
      </c>
      <c r="F118">
        <v>493035.7</v>
      </c>
      <c r="G118">
        <v>274.68</v>
      </c>
      <c r="H118" s="2"/>
    </row>
    <row r="119" spans="1:8" hidden="1" x14ac:dyDescent="0.25">
      <c r="A119">
        <v>2019</v>
      </c>
      <c r="B119" t="s">
        <v>26</v>
      </c>
      <c r="C119">
        <v>2022</v>
      </c>
      <c r="D119">
        <v>1666.21</v>
      </c>
      <c r="E119">
        <v>42</v>
      </c>
      <c r="F119">
        <v>488637.48</v>
      </c>
      <c r="G119">
        <v>278.04000000000002</v>
      </c>
      <c r="H119" s="2"/>
    </row>
    <row r="120" spans="1:8" hidden="1" x14ac:dyDescent="0.25">
      <c r="A120">
        <v>2019</v>
      </c>
      <c r="B120" t="s">
        <v>26</v>
      </c>
      <c r="C120">
        <v>2023</v>
      </c>
      <c r="D120">
        <v>2268.13</v>
      </c>
      <c r="E120">
        <v>53</v>
      </c>
      <c r="F120">
        <v>510426.64</v>
      </c>
      <c r="G120">
        <v>278.79000000000002</v>
      </c>
      <c r="H120" s="2"/>
    </row>
    <row r="121" spans="1:8" hidden="1" x14ac:dyDescent="0.25">
      <c r="A121">
        <v>2019</v>
      </c>
      <c r="B121" t="s">
        <v>26</v>
      </c>
      <c r="C121">
        <v>2024</v>
      </c>
      <c r="D121">
        <v>1034.56</v>
      </c>
      <c r="E121">
        <v>29</v>
      </c>
      <c r="F121">
        <v>504581.9</v>
      </c>
      <c r="G121">
        <v>276.25</v>
      </c>
      <c r="H121" s="2"/>
    </row>
    <row r="122" spans="1:8" hidden="1" x14ac:dyDescent="0.25">
      <c r="A122">
        <v>2019</v>
      </c>
      <c r="B122" t="s">
        <v>27</v>
      </c>
      <c r="C122">
        <v>2019</v>
      </c>
      <c r="D122">
        <v>86.14</v>
      </c>
      <c r="E122">
        <v>6</v>
      </c>
      <c r="F122">
        <v>528492.81000000006</v>
      </c>
      <c r="G122">
        <v>315.51</v>
      </c>
      <c r="H122" s="2">
        <f t="shared" ref="H122" si="18">SUM(E122:E127)</f>
        <v>212</v>
      </c>
    </row>
    <row r="123" spans="1:8" hidden="1" x14ac:dyDescent="0.25">
      <c r="A123">
        <v>2019</v>
      </c>
      <c r="B123" t="s">
        <v>27</v>
      </c>
      <c r="C123">
        <v>2020</v>
      </c>
      <c r="D123">
        <v>1135.5999999999999</v>
      </c>
      <c r="E123">
        <v>31</v>
      </c>
      <c r="F123">
        <v>519519.6</v>
      </c>
      <c r="G123">
        <v>311.76</v>
      </c>
      <c r="H123" s="2"/>
    </row>
    <row r="124" spans="1:8" hidden="1" x14ac:dyDescent="0.25">
      <c r="A124">
        <v>2019</v>
      </c>
      <c r="B124" t="s">
        <v>27</v>
      </c>
      <c r="C124">
        <v>2021</v>
      </c>
      <c r="D124">
        <v>1611.8</v>
      </c>
      <c r="E124">
        <v>30</v>
      </c>
      <c r="F124">
        <v>514995.49</v>
      </c>
      <c r="G124">
        <v>311.39</v>
      </c>
      <c r="H124" s="2"/>
    </row>
    <row r="125" spans="1:8" hidden="1" x14ac:dyDescent="0.25">
      <c r="A125">
        <v>2019</v>
      </c>
      <c r="B125" t="s">
        <v>27</v>
      </c>
      <c r="C125">
        <v>2022</v>
      </c>
      <c r="D125">
        <v>3771.2</v>
      </c>
      <c r="E125">
        <v>71</v>
      </c>
      <c r="F125">
        <v>502601.7</v>
      </c>
      <c r="G125">
        <v>304.39</v>
      </c>
      <c r="H125" s="2"/>
    </row>
    <row r="126" spans="1:8" hidden="1" x14ac:dyDescent="0.25">
      <c r="A126">
        <v>2019</v>
      </c>
      <c r="B126" t="s">
        <v>27</v>
      </c>
      <c r="C126">
        <v>2023</v>
      </c>
      <c r="D126">
        <v>1078.94</v>
      </c>
      <c r="E126">
        <v>25</v>
      </c>
      <c r="F126">
        <v>518196.7</v>
      </c>
      <c r="G126">
        <v>313.01</v>
      </c>
      <c r="H126" s="2"/>
    </row>
    <row r="127" spans="1:8" hidden="1" x14ac:dyDescent="0.25">
      <c r="A127">
        <v>2019</v>
      </c>
      <c r="B127" t="s">
        <v>27</v>
      </c>
      <c r="C127">
        <v>2024</v>
      </c>
      <c r="D127">
        <v>2364.77</v>
      </c>
      <c r="E127">
        <v>49</v>
      </c>
      <c r="F127">
        <v>506203.12</v>
      </c>
      <c r="G127">
        <v>308.77</v>
      </c>
      <c r="H127" s="2"/>
    </row>
    <row r="128" spans="1:8" hidden="1" x14ac:dyDescent="0.25">
      <c r="A128">
        <v>2019</v>
      </c>
      <c r="B128" t="s">
        <v>28</v>
      </c>
      <c r="C128">
        <v>2019</v>
      </c>
      <c r="D128">
        <v>110.19</v>
      </c>
      <c r="E128">
        <v>7</v>
      </c>
      <c r="F128">
        <v>612056.62</v>
      </c>
      <c r="G128">
        <v>274.57</v>
      </c>
      <c r="H128" s="2">
        <f t="shared" ref="H128" si="19">SUM(E128:E133)</f>
        <v>88</v>
      </c>
    </row>
    <row r="129" spans="1:8" hidden="1" x14ac:dyDescent="0.25">
      <c r="A129">
        <v>2019</v>
      </c>
      <c r="B129" t="s">
        <v>28</v>
      </c>
      <c r="C129">
        <v>2020</v>
      </c>
      <c r="D129">
        <v>178.17</v>
      </c>
      <c r="E129">
        <v>12</v>
      </c>
      <c r="F129">
        <v>601577.31999999995</v>
      </c>
      <c r="G129">
        <v>272.07</v>
      </c>
      <c r="H129" s="2"/>
    </row>
    <row r="130" spans="1:8" hidden="1" x14ac:dyDescent="0.25">
      <c r="A130">
        <v>2019</v>
      </c>
      <c r="B130" t="s">
        <v>28</v>
      </c>
      <c r="C130">
        <v>2021</v>
      </c>
      <c r="D130">
        <v>839.87</v>
      </c>
      <c r="E130">
        <v>25</v>
      </c>
      <c r="F130">
        <v>577315.59</v>
      </c>
      <c r="G130">
        <v>268.81</v>
      </c>
      <c r="H130" s="2"/>
    </row>
    <row r="131" spans="1:8" hidden="1" x14ac:dyDescent="0.25">
      <c r="A131">
        <v>2019</v>
      </c>
      <c r="B131" t="s">
        <v>28</v>
      </c>
      <c r="C131">
        <v>2022</v>
      </c>
      <c r="D131">
        <v>781.97</v>
      </c>
      <c r="E131">
        <v>21</v>
      </c>
      <c r="F131">
        <v>579927.80000000005</v>
      </c>
      <c r="G131">
        <v>271.13</v>
      </c>
      <c r="H131" s="2"/>
    </row>
    <row r="132" spans="1:8" hidden="1" x14ac:dyDescent="0.25">
      <c r="A132">
        <v>2019</v>
      </c>
      <c r="B132" t="s">
        <v>28</v>
      </c>
      <c r="C132">
        <v>2023</v>
      </c>
      <c r="D132">
        <v>94.5</v>
      </c>
      <c r="E132">
        <v>9</v>
      </c>
      <c r="F132">
        <v>601478.63</v>
      </c>
      <c r="G132">
        <v>272.60000000000002</v>
      </c>
      <c r="H132" s="2"/>
    </row>
    <row r="133" spans="1:8" hidden="1" x14ac:dyDescent="0.25">
      <c r="A133">
        <v>2019</v>
      </c>
      <c r="B133" t="s">
        <v>28</v>
      </c>
      <c r="C133">
        <v>2024</v>
      </c>
      <c r="D133">
        <v>442.15</v>
      </c>
      <c r="E133">
        <v>14</v>
      </c>
      <c r="F133">
        <v>590143.28</v>
      </c>
      <c r="G133">
        <v>273.06</v>
      </c>
      <c r="H133" s="2"/>
    </row>
    <row r="134" spans="1:8" hidden="1" x14ac:dyDescent="0.25">
      <c r="A134">
        <v>2019</v>
      </c>
      <c r="B134" t="s">
        <v>29</v>
      </c>
      <c r="C134">
        <v>2019</v>
      </c>
      <c r="D134">
        <v>272.18</v>
      </c>
      <c r="E134">
        <v>5</v>
      </c>
      <c r="F134">
        <v>558957.6</v>
      </c>
      <c r="G134">
        <v>361.55</v>
      </c>
      <c r="H134" s="2">
        <f t="shared" ref="H134" si="20">SUM(E134:E139)</f>
        <v>197</v>
      </c>
    </row>
    <row r="135" spans="1:8" hidden="1" x14ac:dyDescent="0.25">
      <c r="A135">
        <v>2019</v>
      </c>
      <c r="B135" t="s">
        <v>29</v>
      </c>
      <c r="C135">
        <v>2020</v>
      </c>
      <c r="D135">
        <v>1347.07</v>
      </c>
      <c r="E135">
        <v>26</v>
      </c>
      <c r="F135">
        <v>537386.92000000004</v>
      </c>
      <c r="G135">
        <v>354.51</v>
      </c>
      <c r="H135" s="2"/>
    </row>
    <row r="136" spans="1:8" hidden="1" x14ac:dyDescent="0.25">
      <c r="A136">
        <v>2019</v>
      </c>
      <c r="B136" t="s">
        <v>29</v>
      </c>
      <c r="C136">
        <v>2021</v>
      </c>
      <c r="D136">
        <v>2179.11</v>
      </c>
      <c r="E136">
        <v>40</v>
      </c>
      <c r="F136">
        <v>533060.92000000004</v>
      </c>
      <c r="G136">
        <v>349.07</v>
      </c>
      <c r="H136" s="2"/>
    </row>
    <row r="137" spans="1:8" hidden="1" x14ac:dyDescent="0.25">
      <c r="A137">
        <v>2019</v>
      </c>
      <c r="B137" t="s">
        <v>29</v>
      </c>
      <c r="C137">
        <v>2022</v>
      </c>
      <c r="D137">
        <v>5043.3</v>
      </c>
      <c r="E137">
        <v>87</v>
      </c>
      <c r="F137">
        <v>527039.44999999995</v>
      </c>
      <c r="G137">
        <v>342.26</v>
      </c>
      <c r="H137" s="2"/>
    </row>
    <row r="138" spans="1:8" hidden="1" x14ac:dyDescent="0.25">
      <c r="A138">
        <v>2019</v>
      </c>
      <c r="B138" t="s">
        <v>29</v>
      </c>
      <c r="C138">
        <v>2023</v>
      </c>
      <c r="D138">
        <v>854.39</v>
      </c>
      <c r="E138">
        <v>21</v>
      </c>
      <c r="F138">
        <v>547362.96</v>
      </c>
      <c r="G138">
        <v>358.14</v>
      </c>
      <c r="H138" s="2"/>
    </row>
    <row r="139" spans="1:8" hidden="1" x14ac:dyDescent="0.25">
      <c r="A139">
        <v>2019</v>
      </c>
      <c r="B139" t="s">
        <v>29</v>
      </c>
      <c r="C139">
        <v>2024</v>
      </c>
      <c r="D139">
        <v>899.26</v>
      </c>
      <c r="E139">
        <v>18</v>
      </c>
      <c r="F139">
        <v>531912.30000000005</v>
      </c>
      <c r="G139">
        <v>351.8</v>
      </c>
      <c r="H139" s="2"/>
    </row>
    <row r="140" spans="1:8" hidden="1" x14ac:dyDescent="0.25">
      <c r="A140">
        <v>2019</v>
      </c>
      <c r="B140" t="s">
        <v>30</v>
      </c>
      <c r="C140">
        <v>2019</v>
      </c>
      <c r="D140">
        <v>109.2</v>
      </c>
      <c r="E140">
        <v>8</v>
      </c>
      <c r="F140">
        <v>584640.5</v>
      </c>
      <c r="G140">
        <v>285.08999999999997</v>
      </c>
      <c r="H140" s="2">
        <f t="shared" ref="H140" si="21">SUM(E140:E145)</f>
        <v>101</v>
      </c>
    </row>
    <row r="141" spans="1:8" hidden="1" x14ac:dyDescent="0.25">
      <c r="A141">
        <v>2019</v>
      </c>
      <c r="B141" t="s">
        <v>30</v>
      </c>
      <c r="C141">
        <v>2020</v>
      </c>
      <c r="D141">
        <v>227.83</v>
      </c>
      <c r="E141">
        <v>14</v>
      </c>
      <c r="F141">
        <v>575700.59</v>
      </c>
      <c r="G141">
        <v>282.67</v>
      </c>
      <c r="H141" s="2"/>
    </row>
    <row r="142" spans="1:8" hidden="1" x14ac:dyDescent="0.25">
      <c r="A142">
        <v>2019</v>
      </c>
      <c r="B142" t="s">
        <v>30</v>
      </c>
      <c r="C142">
        <v>2021</v>
      </c>
      <c r="D142">
        <v>1002.31</v>
      </c>
      <c r="E142">
        <v>27</v>
      </c>
      <c r="F142">
        <v>553100.03</v>
      </c>
      <c r="G142">
        <v>278.41000000000003</v>
      </c>
      <c r="H142" s="2"/>
    </row>
    <row r="143" spans="1:8" hidden="1" x14ac:dyDescent="0.25">
      <c r="A143">
        <v>2019</v>
      </c>
      <c r="B143" t="s">
        <v>30</v>
      </c>
      <c r="C143">
        <v>2022</v>
      </c>
      <c r="D143">
        <v>899.4</v>
      </c>
      <c r="E143">
        <v>22</v>
      </c>
      <c r="F143">
        <v>555479.5</v>
      </c>
      <c r="G143">
        <v>280.87</v>
      </c>
      <c r="H143" s="2"/>
    </row>
    <row r="144" spans="1:8" hidden="1" x14ac:dyDescent="0.25">
      <c r="A144">
        <v>2019</v>
      </c>
      <c r="B144" t="s">
        <v>30</v>
      </c>
      <c r="C144">
        <v>2023</v>
      </c>
      <c r="D144">
        <v>297.72000000000003</v>
      </c>
      <c r="E144">
        <v>13</v>
      </c>
      <c r="F144">
        <v>574473.87</v>
      </c>
      <c r="G144">
        <v>281.93</v>
      </c>
      <c r="H144" s="2"/>
    </row>
    <row r="145" spans="1:8" hidden="1" x14ac:dyDescent="0.25">
      <c r="A145">
        <v>2019</v>
      </c>
      <c r="B145" t="s">
        <v>30</v>
      </c>
      <c r="C145">
        <v>2024</v>
      </c>
      <c r="D145">
        <v>507.93</v>
      </c>
      <c r="E145">
        <v>17</v>
      </c>
      <c r="F145">
        <v>565324.5</v>
      </c>
      <c r="G145">
        <v>282.85000000000002</v>
      </c>
      <c r="H145" s="2"/>
    </row>
    <row r="146" spans="1:8" hidden="1" x14ac:dyDescent="0.25">
      <c r="A146">
        <v>2019</v>
      </c>
      <c r="B146" t="s">
        <v>31</v>
      </c>
      <c r="C146">
        <v>2019</v>
      </c>
      <c r="D146">
        <v>92.92</v>
      </c>
      <c r="E146">
        <v>4</v>
      </c>
      <c r="F146">
        <v>611870.59</v>
      </c>
      <c r="G146">
        <v>518.6</v>
      </c>
      <c r="H146" s="2">
        <f t="shared" ref="H146" si="22">SUM(E146:E151)</f>
        <v>549</v>
      </c>
    </row>
    <row r="147" spans="1:8" hidden="1" x14ac:dyDescent="0.25">
      <c r="A147">
        <v>2019</v>
      </c>
      <c r="B147" t="s">
        <v>31</v>
      </c>
      <c r="C147">
        <v>2020</v>
      </c>
      <c r="D147">
        <v>5774.03</v>
      </c>
      <c r="E147">
        <v>121</v>
      </c>
      <c r="F147">
        <v>561001.19999999995</v>
      </c>
      <c r="G147">
        <v>477.89</v>
      </c>
      <c r="H147" s="2"/>
    </row>
    <row r="148" spans="1:8" hidden="1" x14ac:dyDescent="0.25">
      <c r="A148">
        <v>2019</v>
      </c>
      <c r="B148" t="s">
        <v>31</v>
      </c>
      <c r="C148">
        <v>2021</v>
      </c>
      <c r="D148">
        <v>7652.35</v>
      </c>
      <c r="E148">
        <v>143</v>
      </c>
      <c r="F148">
        <v>576566.1</v>
      </c>
      <c r="G148">
        <v>488.26</v>
      </c>
      <c r="H148" s="2"/>
    </row>
    <row r="149" spans="1:8" hidden="1" x14ac:dyDescent="0.25">
      <c r="A149">
        <v>2019</v>
      </c>
      <c r="B149" t="s">
        <v>31</v>
      </c>
      <c r="C149">
        <v>2022</v>
      </c>
      <c r="D149">
        <v>5259.16</v>
      </c>
      <c r="E149">
        <v>109</v>
      </c>
      <c r="F149">
        <v>543851.71</v>
      </c>
      <c r="G149">
        <v>465.79</v>
      </c>
      <c r="H149" s="2"/>
    </row>
    <row r="150" spans="1:8" hidden="1" x14ac:dyDescent="0.25">
      <c r="A150">
        <v>2019</v>
      </c>
      <c r="B150" t="s">
        <v>31</v>
      </c>
      <c r="C150">
        <v>2023</v>
      </c>
      <c r="D150">
        <v>2720.34</v>
      </c>
      <c r="E150">
        <v>57</v>
      </c>
      <c r="F150">
        <v>588213.54</v>
      </c>
      <c r="G150">
        <v>511.41</v>
      </c>
      <c r="H150" s="2"/>
    </row>
    <row r="151" spans="1:8" hidden="1" x14ac:dyDescent="0.25">
      <c r="A151">
        <v>2019</v>
      </c>
      <c r="B151" t="s">
        <v>31</v>
      </c>
      <c r="C151">
        <v>2024</v>
      </c>
      <c r="D151">
        <v>5375.53</v>
      </c>
      <c r="E151">
        <v>115</v>
      </c>
      <c r="F151">
        <v>590686.64</v>
      </c>
      <c r="G151">
        <v>482</v>
      </c>
      <c r="H151" s="2"/>
    </row>
    <row r="152" spans="1:8" hidden="1" x14ac:dyDescent="0.25">
      <c r="A152">
        <v>2019</v>
      </c>
      <c r="B152" t="s">
        <v>32</v>
      </c>
      <c r="C152">
        <v>2019</v>
      </c>
      <c r="D152">
        <v>726.02</v>
      </c>
      <c r="E152">
        <v>15</v>
      </c>
      <c r="F152">
        <v>705151.79</v>
      </c>
      <c r="G152">
        <v>548.1</v>
      </c>
      <c r="H152" s="2">
        <f t="shared" ref="H152" si="23">SUM(E152:E157)</f>
        <v>203</v>
      </c>
    </row>
    <row r="153" spans="1:8" hidden="1" x14ac:dyDescent="0.25">
      <c r="A153">
        <v>2019</v>
      </c>
      <c r="B153" t="s">
        <v>32</v>
      </c>
      <c r="C153">
        <v>2020</v>
      </c>
      <c r="D153">
        <v>1541.85</v>
      </c>
      <c r="E153">
        <v>33</v>
      </c>
      <c r="F153">
        <v>667428.19999999995</v>
      </c>
      <c r="G153">
        <v>525.80999999999995</v>
      </c>
      <c r="H153" s="2"/>
    </row>
    <row r="154" spans="1:8" hidden="1" x14ac:dyDescent="0.25">
      <c r="A154">
        <v>2019</v>
      </c>
      <c r="B154" t="s">
        <v>32</v>
      </c>
      <c r="C154">
        <v>2021</v>
      </c>
      <c r="D154">
        <v>3661.95</v>
      </c>
      <c r="E154">
        <v>79</v>
      </c>
      <c r="F154">
        <v>681335.09</v>
      </c>
      <c r="G154">
        <v>526.53</v>
      </c>
      <c r="H154" s="2"/>
    </row>
    <row r="155" spans="1:8" hidden="1" x14ac:dyDescent="0.25">
      <c r="A155">
        <v>2019</v>
      </c>
      <c r="B155" t="s">
        <v>32</v>
      </c>
      <c r="C155">
        <v>2022</v>
      </c>
      <c r="D155">
        <v>1054.24</v>
      </c>
      <c r="E155">
        <v>23</v>
      </c>
      <c r="F155">
        <v>670367.84</v>
      </c>
      <c r="G155">
        <v>534.29999999999995</v>
      </c>
      <c r="H155" s="2"/>
    </row>
    <row r="156" spans="1:8" hidden="1" x14ac:dyDescent="0.25">
      <c r="A156">
        <v>2019</v>
      </c>
      <c r="B156" t="s">
        <v>32</v>
      </c>
      <c r="C156">
        <v>2023</v>
      </c>
      <c r="D156">
        <v>1433.66</v>
      </c>
      <c r="E156">
        <v>24</v>
      </c>
      <c r="F156">
        <v>684731.49</v>
      </c>
      <c r="G156">
        <v>548.61</v>
      </c>
      <c r="H156" s="2"/>
    </row>
    <row r="157" spans="1:8" hidden="1" x14ac:dyDescent="0.25">
      <c r="A157">
        <v>2019</v>
      </c>
      <c r="B157" t="s">
        <v>32</v>
      </c>
      <c r="C157">
        <v>2024</v>
      </c>
      <c r="D157">
        <v>1520.1</v>
      </c>
      <c r="E157">
        <v>29</v>
      </c>
      <c r="F157">
        <v>683754.97</v>
      </c>
      <c r="G157">
        <v>527.17999999999995</v>
      </c>
      <c r="H157" s="2"/>
    </row>
    <row r="158" spans="1:8" hidden="1" x14ac:dyDescent="0.25">
      <c r="A158">
        <v>2019</v>
      </c>
      <c r="B158" t="s">
        <v>33</v>
      </c>
      <c r="C158">
        <v>2019</v>
      </c>
      <c r="D158">
        <v>225.3</v>
      </c>
      <c r="E158">
        <v>6</v>
      </c>
      <c r="F158">
        <v>682873.08</v>
      </c>
      <c r="G158">
        <v>528.07000000000005</v>
      </c>
      <c r="H158" s="2">
        <f t="shared" ref="H158" si="24">SUM(E158:E163)</f>
        <v>177</v>
      </c>
    </row>
    <row r="159" spans="1:8" hidden="1" x14ac:dyDescent="0.25">
      <c r="A159">
        <v>2019</v>
      </c>
      <c r="B159" t="s">
        <v>33</v>
      </c>
      <c r="C159">
        <v>2020</v>
      </c>
      <c r="D159">
        <v>986.74</v>
      </c>
      <c r="E159">
        <v>25</v>
      </c>
      <c r="F159">
        <v>659898.48</v>
      </c>
      <c r="G159">
        <v>514.47</v>
      </c>
      <c r="H159" s="2"/>
    </row>
    <row r="160" spans="1:8" hidden="1" x14ac:dyDescent="0.25">
      <c r="A160">
        <v>2019</v>
      </c>
      <c r="B160" t="s">
        <v>33</v>
      </c>
      <c r="C160">
        <v>2021</v>
      </c>
      <c r="D160">
        <v>1433.28</v>
      </c>
      <c r="E160">
        <v>34</v>
      </c>
      <c r="F160">
        <v>676276.8</v>
      </c>
      <c r="G160">
        <v>517.79</v>
      </c>
      <c r="H160" s="2"/>
    </row>
    <row r="161" spans="1:8" hidden="1" x14ac:dyDescent="0.25">
      <c r="A161">
        <v>2019</v>
      </c>
      <c r="B161" t="s">
        <v>33</v>
      </c>
      <c r="C161">
        <v>2022</v>
      </c>
      <c r="D161">
        <v>1832.42</v>
      </c>
      <c r="E161">
        <v>41</v>
      </c>
      <c r="F161">
        <v>662947.30000000005</v>
      </c>
      <c r="G161">
        <v>511.8</v>
      </c>
      <c r="H161" s="2"/>
    </row>
    <row r="162" spans="1:8" hidden="1" x14ac:dyDescent="0.25">
      <c r="A162">
        <v>2019</v>
      </c>
      <c r="B162" t="s">
        <v>33</v>
      </c>
      <c r="C162">
        <v>2023</v>
      </c>
      <c r="D162">
        <v>509.11</v>
      </c>
      <c r="E162">
        <v>7</v>
      </c>
      <c r="F162">
        <v>679944.25</v>
      </c>
      <c r="G162">
        <v>532.57000000000005</v>
      </c>
      <c r="H162" s="2"/>
    </row>
    <row r="163" spans="1:8" hidden="1" x14ac:dyDescent="0.25">
      <c r="A163">
        <v>2019</v>
      </c>
      <c r="B163" t="s">
        <v>33</v>
      </c>
      <c r="C163">
        <v>2024</v>
      </c>
      <c r="D163">
        <v>2972.27</v>
      </c>
      <c r="E163">
        <v>64</v>
      </c>
      <c r="F163">
        <v>673551.79</v>
      </c>
      <c r="G163">
        <v>513.07000000000005</v>
      </c>
      <c r="H163" s="2"/>
    </row>
    <row r="164" spans="1:8" hidden="1" x14ac:dyDescent="0.25">
      <c r="A164">
        <v>2019</v>
      </c>
      <c r="B164" t="s">
        <v>34</v>
      </c>
      <c r="C164">
        <v>2019</v>
      </c>
      <c r="D164">
        <v>154.29</v>
      </c>
      <c r="E164">
        <v>6</v>
      </c>
      <c r="F164">
        <v>592769.1</v>
      </c>
      <c r="G164">
        <v>528.99</v>
      </c>
      <c r="H164" s="2">
        <f t="shared" ref="H164" si="25">SUM(E164:E169)</f>
        <v>359</v>
      </c>
    </row>
    <row r="165" spans="1:8" hidden="1" x14ac:dyDescent="0.25">
      <c r="A165">
        <v>2019</v>
      </c>
      <c r="B165" t="s">
        <v>34</v>
      </c>
      <c r="C165">
        <v>2020</v>
      </c>
      <c r="D165">
        <v>4787.79</v>
      </c>
      <c r="E165">
        <v>94</v>
      </c>
      <c r="F165">
        <v>546150.79</v>
      </c>
      <c r="G165">
        <v>485.61</v>
      </c>
      <c r="H165" s="2"/>
    </row>
    <row r="166" spans="1:8" hidden="1" x14ac:dyDescent="0.25">
      <c r="A166">
        <v>2019</v>
      </c>
      <c r="B166" t="s">
        <v>34</v>
      </c>
      <c r="C166">
        <v>2021</v>
      </c>
      <c r="D166">
        <v>5344.22</v>
      </c>
      <c r="E166">
        <v>99</v>
      </c>
      <c r="F166">
        <v>564509.39</v>
      </c>
      <c r="G166">
        <v>503.97</v>
      </c>
      <c r="H166" s="2"/>
    </row>
    <row r="167" spans="1:8" hidden="1" x14ac:dyDescent="0.25">
      <c r="A167">
        <v>2019</v>
      </c>
      <c r="B167" t="s">
        <v>34</v>
      </c>
      <c r="C167">
        <v>2022</v>
      </c>
      <c r="D167">
        <v>5162.79</v>
      </c>
      <c r="E167">
        <v>97</v>
      </c>
      <c r="F167">
        <v>530677.48</v>
      </c>
      <c r="G167">
        <v>479.9</v>
      </c>
      <c r="H167" s="2"/>
    </row>
    <row r="168" spans="1:8" hidden="1" x14ac:dyDescent="0.25">
      <c r="A168">
        <v>2019</v>
      </c>
      <c r="B168" t="s">
        <v>34</v>
      </c>
      <c r="C168">
        <v>2023</v>
      </c>
      <c r="D168">
        <v>1124.3900000000001</v>
      </c>
      <c r="E168">
        <v>25</v>
      </c>
      <c r="F168">
        <v>569165.79</v>
      </c>
      <c r="G168">
        <v>524.08000000000004</v>
      </c>
      <c r="H168" s="2"/>
    </row>
    <row r="169" spans="1:8" hidden="1" x14ac:dyDescent="0.25">
      <c r="A169">
        <v>2019</v>
      </c>
      <c r="B169" t="s">
        <v>34</v>
      </c>
      <c r="C169">
        <v>2024</v>
      </c>
      <c r="D169">
        <v>1820.91</v>
      </c>
      <c r="E169">
        <v>38</v>
      </c>
      <c r="F169">
        <v>566460.06000000006</v>
      </c>
      <c r="G169">
        <v>506.92</v>
      </c>
      <c r="H169" s="2"/>
    </row>
    <row r="170" spans="1:8" hidden="1" x14ac:dyDescent="0.25">
      <c r="A170">
        <v>2019</v>
      </c>
      <c r="B170" t="s">
        <v>35</v>
      </c>
      <c r="C170">
        <v>2019</v>
      </c>
      <c r="D170">
        <v>240.99</v>
      </c>
      <c r="E170">
        <v>4</v>
      </c>
      <c r="F170">
        <v>687777.27</v>
      </c>
      <c r="G170">
        <v>381.11</v>
      </c>
      <c r="H170" s="2">
        <f t="shared" ref="H170" si="26">SUM(E170:E175)</f>
        <v>230</v>
      </c>
    </row>
    <row r="171" spans="1:8" hidden="1" x14ac:dyDescent="0.25">
      <c r="A171">
        <v>2019</v>
      </c>
      <c r="B171" t="s">
        <v>35</v>
      </c>
      <c r="C171">
        <v>2020</v>
      </c>
      <c r="D171">
        <v>3211.13</v>
      </c>
      <c r="E171">
        <v>62</v>
      </c>
      <c r="F171">
        <v>653279.99</v>
      </c>
      <c r="G171">
        <v>364.46</v>
      </c>
      <c r="H171" s="2"/>
    </row>
    <row r="172" spans="1:8" hidden="1" x14ac:dyDescent="0.25">
      <c r="A172">
        <v>2019</v>
      </c>
      <c r="B172" t="s">
        <v>35</v>
      </c>
      <c r="C172">
        <v>2021</v>
      </c>
      <c r="D172">
        <v>3812.66</v>
      </c>
      <c r="E172">
        <v>80</v>
      </c>
      <c r="F172">
        <v>677156.73</v>
      </c>
      <c r="G172">
        <v>363.6</v>
      </c>
      <c r="H172" s="2"/>
    </row>
    <row r="173" spans="1:8" hidden="1" x14ac:dyDescent="0.25">
      <c r="A173">
        <v>2019</v>
      </c>
      <c r="B173" t="s">
        <v>35</v>
      </c>
      <c r="C173">
        <v>2022</v>
      </c>
      <c r="D173">
        <v>1135.79</v>
      </c>
      <c r="E173">
        <v>28</v>
      </c>
      <c r="F173">
        <v>672239.98</v>
      </c>
      <c r="G173">
        <v>369.63</v>
      </c>
      <c r="H173" s="2"/>
    </row>
    <row r="174" spans="1:8" hidden="1" x14ac:dyDescent="0.25">
      <c r="A174">
        <v>2019</v>
      </c>
      <c r="B174" t="s">
        <v>35</v>
      </c>
      <c r="C174">
        <v>2023</v>
      </c>
      <c r="D174">
        <v>927.3</v>
      </c>
      <c r="E174">
        <v>19</v>
      </c>
      <c r="F174">
        <v>685120.08</v>
      </c>
      <c r="G174">
        <v>380.35</v>
      </c>
      <c r="H174" s="2"/>
    </row>
    <row r="175" spans="1:8" hidden="1" x14ac:dyDescent="0.25">
      <c r="A175">
        <v>2019</v>
      </c>
      <c r="B175" t="s">
        <v>35</v>
      </c>
      <c r="C175">
        <v>2024</v>
      </c>
      <c r="D175">
        <v>1751.04</v>
      </c>
      <c r="E175">
        <v>37</v>
      </c>
      <c r="F175">
        <v>684852.98</v>
      </c>
      <c r="G175">
        <v>375.6</v>
      </c>
      <c r="H175" s="2"/>
    </row>
    <row r="176" spans="1:8" hidden="1" x14ac:dyDescent="0.25">
      <c r="A176">
        <v>2019</v>
      </c>
      <c r="B176" t="s">
        <v>22</v>
      </c>
      <c r="C176">
        <v>2019</v>
      </c>
      <c r="D176">
        <v>410.08</v>
      </c>
      <c r="E176">
        <v>8</v>
      </c>
      <c r="F176">
        <v>663824.78</v>
      </c>
      <c r="G176">
        <v>455.54</v>
      </c>
      <c r="H176" s="2">
        <f t="shared" ref="H176" si="27">SUM(E176:E181)</f>
        <v>275</v>
      </c>
    </row>
    <row r="177" spans="1:8" hidden="1" x14ac:dyDescent="0.25">
      <c r="A177">
        <v>2019</v>
      </c>
      <c r="B177" t="s">
        <v>22</v>
      </c>
      <c r="C177">
        <v>2020</v>
      </c>
      <c r="D177">
        <v>3403.25</v>
      </c>
      <c r="E177">
        <v>69</v>
      </c>
      <c r="F177">
        <v>610354.47</v>
      </c>
      <c r="G177">
        <v>428.49</v>
      </c>
      <c r="H177" s="2"/>
    </row>
    <row r="178" spans="1:8" hidden="1" x14ac:dyDescent="0.25">
      <c r="A178">
        <v>2019</v>
      </c>
      <c r="B178" t="s">
        <v>22</v>
      </c>
      <c r="C178">
        <v>2021</v>
      </c>
      <c r="D178">
        <v>4309.9799999999996</v>
      </c>
      <c r="E178">
        <v>80</v>
      </c>
      <c r="F178">
        <v>633976.56999999995</v>
      </c>
      <c r="G178">
        <v>435.39</v>
      </c>
      <c r="H178" s="2"/>
    </row>
    <row r="179" spans="1:8" hidden="1" x14ac:dyDescent="0.25">
      <c r="A179">
        <v>2019</v>
      </c>
      <c r="B179" t="s">
        <v>22</v>
      </c>
      <c r="C179">
        <v>2022</v>
      </c>
      <c r="D179">
        <v>3165.46</v>
      </c>
      <c r="E179">
        <v>64</v>
      </c>
      <c r="F179">
        <v>599460.81999999995</v>
      </c>
      <c r="G179">
        <v>425.56</v>
      </c>
      <c r="H179" s="2"/>
    </row>
    <row r="180" spans="1:8" hidden="1" x14ac:dyDescent="0.25">
      <c r="A180">
        <v>2019</v>
      </c>
      <c r="B180" t="s">
        <v>22</v>
      </c>
      <c r="C180">
        <v>2023</v>
      </c>
      <c r="D180">
        <v>1278.32</v>
      </c>
      <c r="E180">
        <v>25</v>
      </c>
      <c r="F180">
        <v>641648.81000000006</v>
      </c>
      <c r="G180">
        <v>450.87</v>
      </c>
      <c r="H180" s="2"/>
    </row>
    <row r="181" spans="1:8" hidden="1" x14ac:dyDescent="0.25">
      <c r="A181">
        <v>2019</v>
      </c>
      <c r="B181" t="s">
        <v>22</v>
      </c>
      <c r="C181">
        <v>2024</v>
      </c>
      <c r="D181">
        <v>1462.71</v>
      </c>
      <c r="E181">
        <v>29</v>
      </c>
      <c r="F181">
        <v>638637.01</v>
      </c>
      <c r="G181">
        <v>443.19</v>
      </c>
      <c r="H181" s="2"/>
    </row>
    <row r="182" spans="1:8" hidden="1" x14ac:dyDescent="0.25">
      <c r="A182">
        <v>2019</v>
      </c>
      <c r="B182" t="s">
        <v>36</v>
      </c>
      <c r="C182">
        <v>2019</v>
      </c>
      <c r="D182">
        <v>326.38</v>
      </c>
      <c r="E182">
        <v>6</v>
      </c>
      <c r="F182">
        <v>687305.32</v>
      </c>
      <c r="G182">
        <v>432.74</v>
      </c>
      <c r="H182" s="2">
        <f t="shared" ref="H182" si="28">SUM(E182:E187)</f>
        <v>459</v>
      </c>
    </row>
    <row r="183" spans="1:8" hidden="1" x14ac:dyDescent="0.25">
      <c r="A183">
        <v>2019</v>
      </c>
      <c r="B183" t="s">
        <v>36</v>
      </c>
      <c r="C183">
        <v>2020</v>
      </c>
      <c r="D183">
        <v>5379.11</v>
      </c>
      <c r="E183">
        <v>107</v>
      </c>
      <c r="F183">
        <v>627903.31999999995</v>
      </c>
      <c r="G183">
        <v>402.9</v>
      </c>
      <c r="H183" s="2"/>
    </row>
    <row r="184" spans="1:8" hidden="1" x14ac:dyDescent="0.25">
      <c r="A184">
        <v>2019</v>
      </c>
      <c r="B184" t="s">
        <v>36</v>
      </c>
      <c r="C184">
        <v>2021</v>
      </c>
      <c r="D184">
        <v>6468.67</v>
      </c>
      <c r="E184">
        <v>122</v>
      </c>
      <c r="F184">
        <v>652771.18000000005</v>
      </c>
      <c r="G184">
        <v>407.66</v>
      </c>
      <c r="H184" s="2"/>
    </row>
    <row r="185" spans="1:8" hidden="1" x14ac:dyDescent="0.25">
      <c r="A185">
        <v>2019</v>
      </c>
      <c r="B185" t="s">
        <v>36</v>
      </c>
      <c r="C185">
        <v>2022</v>
      </c>
      <c r="D185">
        <v>4644.54</v>
      </c>
      <c r="E185">
        <v>106</v>
      </c>
      <c r="F185">
        <v>616159.41</v>
      </c>
      <c r="G185">
        <v>400.86</v>
      </c>
      <c r="H185" s="2"/>
    </row>
    <row r="186" spans="1:8" hidden="1" x14ac:dyDescent="0.25">
      <c r="A186">
        <v>2019</v>
      </c>
      <c r="B186" t="s">
        <v>36</v>
      </c>
      <c r="C186">
        <v>2023</v>
      </c>
      <c r="D186">
        <v>2859.59</v>
      </c>
      <c r="E186">
        <v>56</v>
      </c>
      <c r="F186">
        <v>665679.56999999995</v>
      </c>
      <c r="G186">
        <v>424.09</v>
      </c>
      <c r="H186" s="2"/>
    </row>
    <row r="187" spans="1:8" hidden="1" x14ac:dyDescent="0.25">
      <c r="A187">
        <v>2019</v>
      </c>
      <c r="B187" t="s">
        <v>36</v>
      </c>
      <c r="C187">
        <v>2024</v>
      </c>
      <c r="D187">
        <v>3100.76</v>
      </c>
      <c r="E187">
        <v>62</v>
      </c>
      <c r="F187">
        <v>669344.18999999994</v>
      </c>
      <c r="G187">
        <v>411.87</v>
      </c>
      <c r="H187" s="2"/>
    </row>
    <row r="188" spans="1:8" hidden="1" x14ac:dyDescent="0.25">
      <c r="A188">
        <v>2019</v>
      </c>
      <c r="B188" t="s">
        <v>37</v>
      </c>
      <c r="C188">
        <v>2019</v>
      </c>
      <c r="D188">
        <v>284.14</v>
      </c>
      <c r="E188">
        <v>8</v>
      </c>
      <c r="F188">
        <v>680995.46</v>
      </c>
      <c r="G188">
        <v>385.33</v>
      </c>
      <c r="H188" s="2">
        <f t="shared" ref="H188" si="29">SUM(E188:E193)</f>
        <v>464</v>
      </c>
    </row>
    <row r="189" spans="1:8" hidden="1" x14ac:dyDescent="0.25">
      <c r="A189">
        <v>2019</v>
      </c>
      <c r="B189" t="s">
        <v>37</v>
      </c>
      <c r="C189">
        <v>2020</v>
      </c>
      <c r="D189">
        <v>5342.78</v>
      </c>
      <c r="E189">
        <v>110</v>
      </c>
      <c r="F189">
        <v>619554.36</v>
      </c>
      <c r="G189">
        <v>359.64</v>
      </c>
      <c r="H189" s="2"/>
    </row>
    <row r="190" spans="1:8" hidden="1" x14ac:dyDescent="0.25">
      <c r="A190">
        <v>2019</v>
      </c>
      <c r="B190" t="s">
        <v>37</v>
      </c>
      <c r="C190">
        <v>2021</v>
      </c>
      <c r="D190">
        <v>6054.49</v>
      </c>
      <c r="E190">
        <v>110</v>
      </c>
      <c r="F190">
        <v>638826.62</v>
      </c>
      <c r="G190">
        <v>366.24</v>
      </c>
      <c r="H190" s="2"/>
    </row>
    <row r="191" spans="1:8" hidden="1" x14ac:dyDescent="0.25">
      <c r="A191">
        <v>2019</v>
      </c>
      <c r="B191" t="s">
        <v>37</v>
      </c>
      <c r="C191">
        <v>2022</v>
      </c>
      <c r="D191">
        <v>4313.22</v>
      </c>
      <c r="E191">
        <v>84</v>
      </c>
      <c r="F191">
        <v>592384.97</v>
      </c>
      <c r="G191">
        <v>358.87</v>
      </c>
      <c r="H191" s="2"/>
    </row>
    <row r="192" spans="1:8" hidden="1" x14ac:dyDescent="0.25">
      <c r="A192">
        <v>2019</v>
      </c>
      <c r="B192" t="s">
        <v>37</v>
      </c>
      <c r="C192">
        <v>2023</v>
      </c>
      <c r="D192">
        <v>2111.09</v>
      </c>
      <c r="E192">
        <v>43</v>
      </c>
      <c r="F192">
        <v>651512.06000000006</v>
      </c>
      <c r="G192">
        <v>381.3</v>
      </c>
      <c r="H192" s="2"/>
    </row>
    <row r="193" spans="1:9" hidden="1" x14ac:dyDescent="0.25">
      <c r="A193">
        <v>2019</v>
      </c>
      <c r="B193" t="s">
        <v>37</v>
      </c>
      <c r="C193">
        <v>2024</v>
      </c>
      <c r="D193">
        <v>5033.26</v>
      </c>
      <c r="E193">
        <v>109</v>
      </c>
      <c r="F193">
        <v>649803.5</v>
      </c>
      <c r="G193">
        <v>358.49</v>
      </c>
      <c r="H193" s="2"/>
    </row>
    <row r="194" spans="1:9" x14ac:dyDescent="0.25">
      <c r="A194">
        <v>2019</v>
      </c>
      <c r="B194" t="s">
        <v>38</v>
      </c>
      <c r="C194">
        <v>2019</v>
      </c>
      <c r="D194">
        <v>276.07</v>
      </c>
      <c r="E194">
        <v>6</v>
      </c>
      <c r="F194">
        <v>664137.41</v>
      </c>
      <c r="G194">
        <v>491.73</v>
      </c>
      <c r="H194" s="2">
        <f t="shared" ref="H194" si="30">SUM(E194:E199)</f>
        <v>263</v>
      </c>
      <c r="I194" s="1">
        <v>2019</v>
      </c>
    </row>
    <row r="195" spans="1:9" x14ac:dyDescent="0.25">
      <c r="A195">
        <v>2019</v>
      </c>
      <c r="B195" t="s">
        <v>38</v>
      </c>
      <c r="C195">
        <v>2020</v>
      </c>
      <c r="D195">
        <v>3403.09</v>
      </c>
      <c r="E195">
        <v>66</v>
      </c>
      <c r="F195">
        <v>608855.84</v>
      </c>
      <c r="G195">
        <v>464.98</v>
      </c>
      <c r="H195" s="2"/>
      <c r="I195" s="1"/>
    </row>
    <row r="196" spans="1:9" x14ac:dyDescent="0.25">
      <c r="A196">
        <v>2019</v>
      </c>
      <c r="B196" t="s">
        <v>38</v>
      </c>
      <c r="C196">
        <v>2021</v>
      </c>
      <c r="D196">
        <v>4500.71</v>
      </c>
      <c r="E196">
        <v>90</v>
      </c>
      <c r="F196">
        <v>638108.69999999995</v>
      </c>
      <c r="G196">
        <v>464.58</v>
      </c>
      <c r="H196" s="2"/>
      <c r="I196" s="1"/>
    </row>
    <row r="197" spans="1:9" x14ac:dyDescent="0.25">
      <c r="A197">
        <v>2019</v>
      </c>
      <c r="B197" t="s">
        <v>38</v>
      </c>
      <c r="C197">
        <v>2022</v>
      </c>
      <c r="D197">
        <v>1837.98</v>
      </c>
      <c r="E197">
        <v>42</v>
      </c>
      <c r="F197">
        <v>610131.02</v>
      </c>
      <c r="G197">
        <v>467.57</v>
      </c>
      <c r="H197" s="2"/>
      <c r="I197" s="1"/>
    </row>
    <row r="198" spans="1:9" x14ac:dyDescent="0.25">
      <c r="A198">
        <v>2019</v>
      </c>
      <c r="B198" t="s">
        <v>38</v>
      </c>
      <c r="C198">
        <v>2023</v>
      </c>
      <c r="D198">
        <v>1888.66</v>
      </c>
      <c r="E198">
        <v>39</v>
      </c>
      <c r="F198">
        <v>647252.54</v>
      </c>
      <c r="G198">
        <v>487.61</v>
      </c>
      <c r="H198" s="2"/>
      <c r="I198" s="1"/>
    </row>
    <row r="199" spans="1:9" x14ac:dyDescent="0.25">
      <c r="A199">
        <v>2019</v>
      </c>
      <c r="B199" t="s">
        <v>38</v>
      </c>
      <c r="C199">
        <v>2024</v>
      </c>
      <c r="D199">
        <v>971.25</v>
      </c>
      <c r="E199">
        <v>20</v>
      </c>
      <c r="F199">
        <v>653635.88</v>
      </c>
      <c r="G199">
        <v>480.35</v>
      </c>
      <c r="H199" s="2"/>
      <c r="I199" s="1"/>
    </row>
    <row r="200" spans="1:9" hidden="1" x14ac:dyDescent="0.25">
      <c r="A200">
        <v>2019</v>
      </c>
      <c r="B200" t="s">
        <v>39</v>
      </c>
      <c r="C200">
        <v>2019</v>
      </c>
      <c r="D200">
        <v>225.3</v>
      </c>
      <c r="E200">
        <v>6</v>
      </c>
      <c r="F200">
        <v>682873.08</v>
      </c>
      <c r="G200">
        <v>528.07000000000005</v>
      </c>
      <c r="H200" s="2">
        <f t="shared" ref="H200" si="31">SUM(E200:E205)</f>
        <v>177</v>
      </c>
    </row>
    <row r="201" spans="1:9" hidden="1" x14ac:dyDescent="0.25">
      <c r="A201">
        <v>2019</v>
      </c>
      <c r="B201" t="s">
        <v>39</v>
      </c>
      <c r="C201">
        <v>2020</v>
      </c>
      <c r="D201">
        <v>986.74</v>
      </c>
      <c r="E201">
        <v>25</v>
      </c>
      <c r="F201">
        <v>659898.48</v>
      </c>
      <c r="G201">
        <v>514.47</v>
      </c>
      <c r="H201" s="2"/>
    </row>
    <row r="202" spans="1:9" hidden="1" x14ac:dyDescent="0.25">
      <c r="A202">
        <v>2019</v>
      </c>
      <c r="B202" t="s">
        <v>39</v>
      </c>
      <c r="C202">
        <v>2021</v>
      </c>
      <c r="D202">
        <v>1433.28</v>
      </c>
      <c r="E202">
        <v>34</v>
      </c>
      <c r="F202">
        <v>676276.8</v>
      </c>
      <c r="G202">
        <v>517.79</v>
      </c>
      <c r="H202" s="2"/>
    </row>
    <row r="203" spans="1:9" hidden="1" x14ac:dyDescent="0.25">
      <c r="A203">
        <v>2019</v>
      </c>
      <c r="B203" t="s">
        <v>39</v>
      </c>
      <c r="C203">
        <v>2022</v>
      </c>
      <c r="D203">
        <v>1832.42</v>
      </c>
      <c r="E203">
        <v>41</v>
      </c>
      <c r="F203">
        <v>662947.30000000005</v>
      </c>
      <c r="G203">
        <v>511.8</v>
      </c>
      <c r="H203" s="2"/>
    </row>
    <row r="204" spans="1:9" hidden="1" x14ac:dyDescent="0.25">
      <c r="A204">
        <v>2019</v>
      </c>
      <c r="B204" t="s">
        <v>39</v>
      </c>
      <c r="C204">
        <v>2023</v>
      </c>
      <c r="D204">
        <v>509.11</v>
      </c>
      <c r="E204">
        <v>7</v>
      </c>
      <c r="F204">
        <v>679944.25</v>
      </c>
      <c r="G204">
        <v>532.57000000000005</v>
      </c>
      <c r="H204" s="2"/>
    </row>
    <row r="205" spans="1:9" hidden="1" x14ac:dyDescent="0.25">
      <c r="A205">
        <v>2019</v>
      </c>
      <c r="B205" t="s">
        <v>39</v>
      </c>
      <c r="C205">
        <v>2024</v>
      </c>
      <c r="D205">
        <v>2972.27</v>
      </c>
      <c r="E205">
        <v>64</v>
      </c>
      <c r="F205">
        <v>673551.79</v>
      </c>
      <c r="G205">
        <v>513.07000000000005</v>
      </c>
      <c r="H205" s="2"/>
    </row>
    <row r="206" spans="1:9" hidden="1" x14ac:dyDescent="0.25">
      <c r="A206">
        <v>2019</v>
      </c>
      <c r="B206" t="s">
        <v>40</v>
      </c>
      <c r="C206">
        <v>2019</v>
      </c>
      <c r="D206">
        <v>175.94</v>
      </c>
      <c r="E206">
        <v>7</v>
      </c>
      <c r="F206">
        <v>835089.86</v>
      </c>
      <c r="G206">
        <v>464.22</v>
      </c>
      <c r="H206" s="2">
        <f t="shared" ref="H206" si="32">SUM(E206:E211)</f>
        <v>78</v>
      </c>
    </row>
    <row r="207" spans="1:9" hidden="1" x14ac:dyDescent="0.25">
      <c r="A207">
        <v>2019</v>
      </c>
      <c r="B207" t="s">
        <v>40</v>
      </c>
      <c r="C207">
        <v>2020</v>
      </c>
      <c r="D207">
        <v>754.59</v>
      </c>
      <c r="E207">
        <v>16</v>
      </c>
      <c r="F207">
        <v>815223.27</v>
      </c>
      <c r="G207">
        <v>456.96</v>
      </c>
      <c r="H207" s="2"/>
    </row>
    <row r="208" spans="1:9" hidden="1" x14ac:dyDescent="0.25">
      <c r="A208">
        <v>2019</v>
      </c>
      <c r="B208" t="s">
        <v>40</v>
      </c>
      <c r="C208">
        <v>2021</v>
      </c>
      <c r="D208">
        <v>606.67999999999995</v>
      </c>
      <c r="E208">
        <v>16</v>
      </c>
      <c r="F208">
        <v>836254.17</v>
      </c>
      <c r="G208">
        <v>460.92</v>
      </c>
      <c r="H208" s="2"/>
    </row>
    <row r="209" spans="1:8" hidden="1" x14ac:dyDescent="0.25">
      <c r="A209">
        <v>2019</v>
      </c>
      <c r="B209" t="s">
        <v>40</v>
      </c>
      <c r="C209">
        <v>2022</v>
      </c>
      <c r="D209">
        <v>443.98</v>
      </c>
      <c r="E209">
        <v>14</v>
      </c>
      <c r="F209">
        <v>810814.8</v>
      </c>
      <c r="G209">
        <v>454.85</v>
      </c>
      <c r="H209" s="2"/>
    </row>
    <row r="210" spans="1:8" hidden="1" x14ac:dyDescent="0.25">
      <c r="A210">
        <v>2019</v>
      </c>
      <c r="B210" t="s">
        <v>40</v>
      </c>
      <c r="C210">
        <v>2023</v>
      </c>
      <c r="D210">
        <v>667.59</v>
      </c>
      <c r="E210">
        <v>16</v>
      </c>
      <c r="F210">
        <v>843097.39</v>
      </c>
      <c r="G210">
        <v>461.49</v>
      </c>
      <c r="H210" s="2"/>
    </row>
    <row r="211" spans="1:8" hidden="1" x14ac:dyDescent="0.25">
      <c r="A211">
        <v>2019</v>
      </c>
      <c r="B211" t="s">
        <v>40</v>
      </c>
      <c r="C211">
        <v>2024</v>
      </c>
      <c r="D211">
        <v>288.5</v>
      </c>
      <c r="E211">
        <v>9</v>
      </c>
      <c r="F211">
        <v>813933.32</v>
      </c>
      <c r="G211">
        <v>463.62</v>
      </c>
      <c r="H211" s="2"/>
    </row>
    <row r="212" spans="1:8" hidden="1" x14ac:dyDescent="0.25">
      <c r="A212">
        <v>2019</v>
      </c>
      <c r="B212" t="s">
        <v>41</v>
      </c>
      <c r="C212">
        <v>2019</v>
      </c>
      <c r="D212">
        <v>157.66</v>
      </c>
      <c r="E212">
        <v>7</v>
      </c>
      <c r="F212">
        <v>663601.97</v>
      </c>
      <c r="G212">
        <v>292.47000000000003</v>
      </c>
      <c r="H212" s="2">
        <f t="shared" ref="H212" si="33">SUM(E212:E217)</f>
        <v>155</v>
      </c>
    </row>
    <row r="213" spans="1:8" hidden="1" x14ac:dyDescent="0.25">
      <c r="A213">
        <v>2019</v>
      </c>
      <c r="B213" t="s">
        <v>41</v>
      </c>
      <c r="C213">
        <v>2020</v>
      </c>
      <c r="D213">
        <v>1040.6099999999999</v>
      </c>
      <c r="E213">
        <v>28</v>
      </c>
      <c r="F213">
        <v>636816.38</v>
      </c>
      <c r="G213">
        <v>287.13</v>
      </c>
      <c r="H213" s="2"/>
    </row>
    <row r="214" spans="1:8" hidden="1" x14ac:dyDescent="0.25">
      <c r="A214">
        <v>2019</v>
      </c>
      <c r="B214" t="s">
        <v>41</v>
      </c>
      <c r="C214">
        <v>2021</v>
      </c>
      <c r="D214">
        <v>329.7</v>
      </c>
      <c r="E214">
        <v>12</v>
      </c>
      <c r="F214">
        <v>647376.63</v>
      </c>
      <c r="G214">
        <v>289.74</v>
      </c>
      <c r="H214" s="2"/>
    </row>
    <row r="215" spans="1:8" hidden="1" x14ac:dyDescent="0.25">
      <c r="A215">
        <v>2019</v>
      </c>
      <c r="B215" t="s">
        <v>41</v>
      </c>
      <c r="C215">
        <v>2022</v>
      </c>
      <c r="D215">
        <v>1013.43</v>
      </c>
      <c r="E215">
        <v>25</v>
      </c>
      <c r="F215">
        <v>619640.06999999995</v>
      </c>
      <c r="G215">
        <v>287.10000000000002</v>
      </c>
      <c r="H215" s="2"/>
    </row>
    <row r="216" spans="1:8" hidden="1" x14ac:dyDescent="0.25">
      <c r="A216">
        <v>2019</v>
      </c>
      <c r="B216" t="s">
        <v>41</v>
      </c>
      <c r="C216">
        <v>2023</v>
      </c>
      <c r="D216">
        <v>1692.07</v>
      </c>
      <c r="E216">
        <v>41</v>
      </c>
      <c r="F216">
        <v>649385.05000000005</v>
      </c>
      <c r="G216">
        <v>288.94</v>
      </c>
      <c r="H216" s="2"/>
    </row>
    <row r="217" spans="1:8" hidden="1" x14ac:dyDescent="0.25">
      <c r="A217">
        <v>2019</v>
      </c>
      <c r="B217" t="s">
        <v>41</v>
      </c>
      <c r="C217">
        <v>2024</v>
      </c>
      <c r="D217">
        <v>1736.13</v>
      </c>
      <c r="E217">
        <v>42</v>
      </c>
      <c r="F217">
        <v>642294.01</v>
      </c>
      <c r="G217">
        <v>285.89999999999998</v>
      </c>
      <c r="H217" s="2"/>
    </row>
    <row r="218" spans="1:8" hidden="1" x14ac:dyDescent="0.25">
      <c r="A218">
        <v>2019</v>
      </c>
      <c r="B218" t="s">
        <v>42</v>
      </c>
      <c r="C218">
        <v>2019</v>
      </c>
      <c r="D218">
        <v>49.19</v>
      </c>
      <c r="E218">
        <v>4</v>
      </c>
      <c r="F218">
        <v>662486.11</v>
      </c>
      <c r="G218">
        <v>302.39</v>
      </c>
      <c r="H218" s="2">
        <f t="shared" ref="H218" si="34">SUM(E218:E223)</f>
        <v>129</v>
      </c>
    </row>
    <row r="219" spans="1:8" hidden="1" x14ac:dyDescent="0.25">
      <c r="A219">
        <v>2019</v>
      </c>
      <c r="B219" t="s">
        <v>42</v>
      </c>
      <c r="C219">
        <v>2020</v>
      </c>
      <c r="D219">
        <v>1077.1099999999999</v>
      </c>
      <c r="E219">
        <v>27</v>
      </c>
      <c r="F219">
        <v>635768.39</v>
      </c>
      <c r="G219">
        <v>296.77999999999997</v>
      </c>
      <c r="H219" s="2"/>
    </row>
    <row r="220" spans="1:8" hidden="1" x14ac:dyDescent="0.25">
      <c r="A220">
        <v>2019</v>
      </c>
      <c r="B220" t="s">
        <v>42</v>
      </c>
      <c r="C220">
        <v>2021</v>
      </c>
      <c r="D220">
        <v>226.05</v>
      </c>
      <c r="E220">
        <v>11</v>
      </c>
      <c r="F220">
        <v>643169.35</v>
      </c>
      <c r="G220">
        <v>300.3</v>
      </c>
      <c r="H220" s="2"/>
    </row>
    <row r="221" spans="1:8" hidden="1" x14ac:dyDescent="0.25">
      <c r="A221">
        <v>2019</v>
      </c>
      <c r="B221" t="s">
        <v>42</v>
      </c>
      <c r="C221">
        <v>2022</v>
      </c>
      <c r="D221">
        <v>853.82</v>
      </c>
      <c r="E221">
        <v>20</v>
      </c>
      <c r="F221">
        <v>616851.12</v>
      </c>
      <c r="G221">
        <v>296.52</v>
      </c>
      <c r="H221" s="2"/>
    </row>
    <row r="222" spans="1:8" hidden="1" x14ac:dyDescent="0.25">
      <c r="A222">
        <v>2019</v>
      </c>
      <c r="B222" t="s">
        <v>42</v>
      </c>
      <c r="C222">
        <v>2023</v>
      </c>
      <c r="D222">
        <v>1734.18</v>
      </c>
      <c r="E222">
        <v>36</v>
      </c>
      <c r="F222">
        <v>646862.12</v>
      </c>
      <c r="G222">
        <v>297.98</v>
      </c>
      <c r="H222" s="2"/>
    </row>
    <row r="223" spans="1:8" hidden="1" x14ac:dyDescent="0.25">
      <c r="A223">
        <v>2019</v>
      </c>
      <c r="B223" t="s">
        <v>42</v>
      </c>
      <c r="C223">
        <v>2024</v>
      </c>
      <c r="D223">
        <v>1342.25</v>
      </c>
      <c r="E223">
        <v>31</v>
      </c>
      <c r="F223">
        <v>642481.34</v>
      </c>
      <c r="G223">
        <v>296.35000000000002</v>
      </c>
      <c r="H223" s="2"/>
    </row>
    <row r="224" spans="1:8" hidden="1" x14ac:dyDescent="0.25">
      <c r="A224">
        <v>2019</v>
      </c>
      <c r="B224" t="s">
        <v>43</v>
      </c>
      <c r="C224">
        <v>2019</v>
      </c>
      <c r="D224">
        <v>134.28</v>
      </c>
      <c r="E224">
        <v>5</v>
      </c>
      <c r="F224">
        <v>698100.73</v>
      </c>
      <c r="G224">
        <v>325.02999999999997</v>
      </c>
      <c r="H224" s="2">
        <f t="shared" ref="H224" si="35">SUM(E224:E229)</f>
        <v>87</v>
      </c>
    </row>
    <row r="225" spans="1:8" hidden="1" x14ac:dyDescent="0.25">
      <c r="A225">
        <v>2019</v>
      </c>
      <c r="B225" t="s">
        <v>43</v>
      </c>
      <c r="C225">
        <v>2020</v>
      </c>
      <c r="D225">
        <v>697.02</v>
      </c>
      <c r="E225">
        <v>15</v>
      </c>
      <c r="F225">
        <v>684992.76</v>
      </c>
      <c r="G225">
        <v>322.62</v>
      </c>
      <c r="H225" s="2"/>
    </row>
    <row r="226" spans="1:8" hidden="1" x14ac:dyDescent="0.25">
      <c r="A226">
        <v>2019</v>
      </c>
      <c r="B226" t="s">
        <v>43</v>
      </c>
      <c r="C226">
        <v>2021</v>
      </c>
      <c r="D226">
        <v>669.38</v>
      </c>
      <c r="E226">
        <v>20</v>
      </c>
      <c r="F226">
        <v>691243.25</v>
      </c>
      <c r="G226">
        <v>325.47000000000003</v>
      </c>
      <c r="H226" s="2"/>
    </row>
    <row r="227" spans="1:8" hidden="1" x14ac:dyDescent="0.25">
      <c r="A227">
        <v>2019</v>
      </c>
      <c r="B227" t="s">
        <v>43</v>
      </c>
      <c r="C227">
        <v>2022</v>
      </c>
      <c r="D227">
        <v>119.99</v>
      </c>
      <c r="E227">
        <v>5</v>
      </c>
      <c r="F227">
        <v>678256.99</v>
      </c>
      <c r="G227">
        <v>324.10000000000002</v>
      </c>
      <c r="H227" s="2"/>
    </row>
    <row r="228" spans="1:8" hidden="1" x14ac:dyDescent="0.25">
      <c r="A228">
        <v>2019</v>
      </c>
      <c r="B228" t="s">
        <v>43</v>
      </c>
      <c r="C228">
        <v>2023</v>
      </c>
      <c r="D228">
        <v>907.51</v>
      </c>
      <c r="E228">
        <v>19</v>
      </c>
      <c r="F228">
        <v>695762.05</v>
      </c>
      <c r="G228">
        <v>323.07</v>
      </c>
      <c r="H228" s="2"/>
    </row>
    <row r="229" spans="1:8" hidden="1" x14ac:dyDescent="0.25">
      <c r="A229">
        <v>2019</v>
      </c>
      <c r="B229" t="s">
        <v>43</v>
      </c>
      <c r="C229">
        <v>2024</v>
      </c>
      <c r="D229">
        <v>647.49</v>
      </c>
      <c r="E229">
        <v>23</v>
      </c>
      <c r="F229">
        <v>685919.16</v>
      </c>
      <c r="G229">
        <v>324.41000000000003</v>
      </c>
      <c r="H229" s="2"/>
    </row>
    <row r="230" spans="1:8" hidden="1" x14ac:dyDescent="0.25">
      <c r="A230">
        <v>2019</v>
      </c>
      <c r="B230" t="s">
        <v>44</v>
      </c>
      <c r="C230">
        <v>2019</v>
      </c>
      <c r="D230">
        <v>145.1</v>
      </c>
      <c r="E230">
        <v>5</v>
      </c>
      <c r="F230">
        <v>610131.02</v>
      </c>
      <c r="G230">
        <v>300.33</v>
      </c>
      <c r="H230" s="2">
        <f t="shared" ref="H230" si="36">SUM(E230:E235)</f>
        <v>157</v>
      </c>
    </row>
    <row r="231" spans="1:8" hidden="1" x14ac:dyDescent="0.25">
      <c r="A231">
        <v>2019</v>
      </c>
      <c r="B231" t="s">
        <v>44</v>
      </c>
      <c r="C231">
        <v>2020</v>
      </c>
      <c r="D231">
        <v>1167.78</v>
      </c>
      <c r="E231">
        <v>31</v>
      </c>
      <c r="F231">
        <v>595900.86</v>
      </c>
      <c r="G231">
        <v>293.79000000000002</v>
      </c>
      <c r="H231" s="2"/>
    </row>
    <row r="232" spans="1:8" hidden="1" x14ac:dyDescent="0.25">
      <c r="A232">
        <v>2019</v>
      </c>
      <c r="B232" t="s">
        <v>44</v>
      </c>
      <c r="C232">
        <v>2021</v>
      </c>
      <c r="D232">
        <v>682.4</v>
      </c>
      <c r="E232">
        <v>24</v>
      </c>
      <c r="F232">
        <v>596193.94999999995</v>
      </c>
      <c r="G232">
        <v>295.49</v>
      </c>
      <c r="H232" s="2"/>
    </row>
    <row r="233" spans="1:8" hidden="1" x14ac:dyDescent="0.25">
      <c r="A233">
        <v>2019</v>
      </c>
      <c r="B233" t="s">
        <v>44</v>
      </c>
      <c r="C233">
        <v>2022</v>
      </c>
      <c r="D233">
        <v>1215.47</v>
      </c>
      <c r="E233">
        <v>31</v>
      </c>
      <c r="F233">
        <v>582038.82999999996</v>
      </c>
      <c r="G233">
        <v>293.72000000000003</v>
      </c>
      <c r="H233" s="2"/>
    </row>
    <row r="234" spans="1:8" hidden="1" x14ac:dyDescent="0.25">
      <c r="A234">
        <v>2019</v>
      </c>
      <c r="B234" t="s">
        <v>44</v>
      </c>
      <c r="C234">
        <v>2023</v>
      </c>
      <c r="D234">
        <v>1559.84</v>
      </c>
      <c r="E234">
        <v>35</v>
      </c>
      <c r="F234">
        <v>599415.67000000004</v>
      </c>
      <c r="G234">
        <v>295.73</v>
      </c>
      <c r="H234" s="2"/>
    </row>
    <row r="235" spans="1:8" hidden="1" x14ac:dyDescent="0.25">
      <c r="A235">
        <v>2019</v>
      </c>
      <c r="B235" t="s">
        <v>44</v>
      </c>
      <c r="C235">
        <v>2024</v>
      </c>
      <c r="D235">
        <v>1139.4100000000001</v>
      </c>
      <c r="E235">
        <v>31</v>
      </c>
      <c r="F235">
        <v>589438.03</v>
      </c>
      <c r="G235">
        <v>293.98</v>
      </c>
      <c r="H235" s="2"/>
    </row>
    <row r="236" spans="1:8" hidden="1" x14ac:dyDescent="0.25">
      <c r="A236">
        <v>2019</v>
      </c>
      <c r="B236" t="s">
        <v>45</v>
      </c>
      <c r="C236">
        <v>2019</v>
      </c>
      <c r="D236">
        <v>136.4</v>
      </c>
      <c r="E236">
        <v>8</v>
      </c>
      <c r="F236">
        <v>638679.18000000005</v>
      </c>
      <c r="G236">
        <v>472.86</v>
      </c>
      <c r="H236" s="2">
        <f t="shared" ref="H236" si="37">SUM(E236:E241)</f>
        <v>135</v>
      </c>
    </row>
    <row r="237" spans="1:8" hidden="1" x14ac:dyDescent="0.25">
      <c r="A237">
        <v>2019</v>
      </c>
      <c r="B237" t="s">
        <v>45</v>
      </c>
      <c r="C237">
        <v>2020</v>
      </c>
      <c r="D237">
        <v>934.91</v>
      </c>
      <c r="E237">
        <v>20</v>
      </c>
      <c r="F237">
        <v>603620.32999999996</v>
      </c>
      <c r="G237">
        <v>464.5</v>
      </c>
      <c r="H237" s="2"/>
    </row>
    <row r="238" spans="1:8" hidden="1" x14ac:dyDescent="0.25">
      <c r="A238">
        <v>2019</v>
      </c>
      <c r="B238" t="s">
        <v>45</v>
      </c>
      <c r="C238">
        <v>2021</v>
      </c>
      <c r="D238">
        <v>963.69</v>
      </c>
      <c r="E238">
        <v>19</v>
      </c>
      <c r="F238">
        <v>613026.55000000005</v>
      </c>
      <c r="G238">
        <v>462.41</v>
      </c>
      <c r="H238" s="2"/>
    </row>
    <row r="239" spans="1:8" hidden="1" x14ac:dyDescent="0.25">
      <c r="A239">
        <v>2019</v>
      </c>
      <c r="B239" t="s">
        <v>45</v>
      </c>
      <c r="C239">
        <v>2022</v>
      </c>
      <c r="D239">
        <v>1723.52</v>
      </c>
      <c r="E239">
        <v>30</v>
      </c>
      <c r="F239">
        <v>590712.23</v>
      </c>
      <c r="G239">
        <v>458.01</v>
      </c>
      <c r="H239" s="2"/>
    </row>
    <row r="240" spans="1:8" hidden="1" x14ac:dyDescent="0.25">
      <c r="A240">
        <v>2019</v>
      </c>
      <c r="B240" t="s">
        <v>45</v>
      </c>
      <c r="C240">
        <v>2023</v>
      </c>
      <c r="D240">
        <v>1250.1199999999999</v>
      </c>
      <c r="E240">
        <v>22</v>
      </c>
      <c r="F240">
        <v>626842.09</v>
      </c>
      <c r="G240">
        <v>469.27</v>
      </c>
      <c r="H240" s="2"/>
    </row>
    <row r="241" spans="1:8" hidden="1" x14ac:dyDescent="0.25">
      <c r="A241">
        <v>2019</v>
      </c>
      <c r="B241" t="s">
        <v>45</v>
      </c>
      <c r="C241">
        <v>2024</v>
      </c>
      <c r="D241">
        <v>2120.34</v>
      </c>
      <c r="E241">
        <v>36</v>
      </c>
      <c r="F241">
        <v>602537.18999999994</v>
      </c>
      <c r="G241">
        <v>458.88</v>
      </c>
      <c r="H241" s="2"/>
    </row>
    <row r="242" spans="1:8" hidden="1" x14ac:dyDescent="0.25">
      <c r="A242">
        <v>2019</v>
      </c>
      <c r="B242" t="s">
        <v>46</v>
      </c>
      <c r="C242">
        <v>2019</v>
      </c>
      <c r="D242">
        <v>119.81</v>
      </c>
      <c r="E242">
        <v>4</v>
      </c>
      <c r="F242">
        <v>592263.75</v>
      </c>
      <c r="G242">
        <v>366.42</v>
      </c>
      <c r="H242" s="2">
        <f t="shared" ref="H242" si="38">SUM(E242:E247)</f>
        <v>111</v>
      </c>
    </row>
    <row r="243" spans="1:8" hidden="1" x14ac:dyDescent="0.25">
      <c r="A243">
        <v>2019</v>
      </c>
      <c r="B243" t="s">
        <v>46</v>
      </c>
      <c r="C243">
        <v>2020</v>
      </c>
      <c r="D243">
        <v>1169.3900000000001</v>
      </c>
      <c r="E243">
        <v>23</v>
      </c>
      <c r="F243">
        <v>563803.94999999995</v>
      </c>
      <c r="G243">
        <v>355.79</v>
      </c>
      <c r="H243" s="2"/>
    </row>
    <row r="244" spans="1:8" hidden="1" x14ac:dyDescent="0.25">
      <c r="A244">
        <v>2019</v>
      </c>
      <c r="B244" t="s">
        <v>46</v>
      </c>
      <c r="C244">
        <v>2021</v>
      </c>
      <c r="D244">
        <v>1925.95</v>
      </c>
      <c r="E244">
        <v>32</v>
      </c>
      <c r="F244">
        <v>564311.88</v>
      </c>
      <c r="G244">
        <v>354.07</v>
      </c>
      <c r="H244" s="2"/>
    </row>
    <row r="245" spans="1:8" hidden="1" x14ac:dyDescent="0.25">
      <c r="A245">
        <v>2019</v>
      </c>
      <c r="B245" t="s">
        <v>46</v>
      </c>
      <c r="C245">
        <v>2022</v>
      </c>
      <c r="D245">
        <v>2034.54</v>
      </c>
      <c r="E245">
        <v>34</v>
      </c>
      <c r="F245">
        <v>570444.86</v>
      </c>
      <c r="G245">
        <v>354.68</v>
      </c>
      <c r="H245" s="2"/>
    </row>
    <row r="246" spans="1:8" hidden="1" x14ac:dyDescent="0.25">
      <c r="A246">
        <v>2019</v>
      </c>
      <c r="B246" t="s">
        <v>46</v>
      </c>
      <c r="C246">
        <v>2023</v>
      </c>
      <c r="D246">
        <v>215.15</v>
      </c>
      <c r="E246">
        <v>6</v>
      </c>
      <c r="F246">
        <v>576516.1</v>
      </c>
      <c r="G246">
        <v>364.84</v>
      </c>
      <c r="H246" s="2"/>
    </row>
    <row r="247" spans="1:8" hidden="1" x14ac:dyDescent="0.25">
      <c r="A247">
        <v>2019</v>
      </c>
      <c r="B247" t="s">
        <v>46</v>
      </c>
      <c r="C247">
        <v>2024</v>
      </c>
      <c r="D247">
        <v>349.98</v>
      </c>
      <c r="E247">
        <v>12</v>
      </c>
      <c r="F247">
        <v>550857.93999999994</v>
      </c>
      <c r="G247">
        <v>347.49</v>
      </c>
      <c r="H247" s="2"/>
    </row>
    <row r="248" spans="1:8" hidden="1" x14ac:dyDescent="0.25">
      <c r="A248">
        <v>2019</v>
      </c>
      <c r="B248" t="s">
        <v>47</v>
      </c>
      <c r="C248">
        <v>2019</v>
      </c>
      <c r="D248">
        <v>167.07</v>
      </c>
      <c r="E248">
        <v>4</v>
      </c>
      <c r="F248">
        <v>631304.64</v>
      </c>
      <c r="G248">
        <v>407.08</v>
      </c>
      <c r="H248" s="2">
        <f t="shared" ref="H248" si="39">SUM(E248:E253)</f>
        <v>91</v>
      </c>
    </row>
    <row r="249" spans="1:8" hidden="1" x14ac:dyDescent="0.25">
      <c r="A249">
        <v>2019</v>
      </c>
      <c r="B249" t="s">
        <v>47</v>
      </c>
      <c r="C249">
        <v>2020</v>
      </c>
      <c r="D249">
        <v>883.26</v>
      </c>
      <c r="E249">
        <v>18</v>
      </c>
      <c r="F249">
        <v>599976.67000000004</v>
      </c>
      <c r="G249">
        <v>402.83</v>
      </c>
      <c r="H249" s="2"/>
    </row>
    <row r="250" spans="1:8" hidden="1" x14ac:dyDescent="0.25">
      <c r="A250">
        <v>2019</v>
      </c>
      <c r="B250" t="s">
        <v>47</v>
      </c>
      <c r="C250">
        <v>2021</v>
      </c>
      <c r="D250">
        <v>1167.01</v>
      </c>
      <c r="E250">
        <v>19</v>
      </c>
      <c r="F250">
        <v>608493.06000000006</v>
      </c>
      <c r="G250">
        <v>403.49</v>
      </c>
      <c r="H250" s="2"/>
    </row>
    <row r="251" spans="1:8" hidden="1" x14ac:dyDescent="0.25">
      <c r="A251">
        <v>2019</v>
      </c>
      <c r="B251" t="s">
        <v>47</v>
      </c>
      <c r="C251">
        <v>2022</v>
      </c>
      <c r="D251">
        <v>1339.43</v>
      </c>
      <c r="E251">
        <v>23</v>
      </c>
      <c r="F251">
        <v>603772.35</v>
      </c>
      <c r="G251">
        <v>400.57</v>
      </c>
      <c r="H251" s="2"/>
    </row>
    <row r="252" spans="1:8" hidden="1" x14ac:dyDescent="0.25">
      <c r="A252">
        <v>2019</v>
      </c>
      <c r="B252" t="s">
        <v>47</v>
      </c>
      <c r="C252">
        <v>2023</v>
      </c>
      <c r="D252">
        <v>521.84</v>
      </c>
      <c r="E252">
        <v>10</v>
      </c>
      <c r="F252">
        <v>619377.91</v>
      </c>
      <c r="G252">
        <v>407.24</v>
      </c>
      <c r="H252" s="2"/>
    </row>
    <row r="253" spans="1:8" hidden="1" x14ac:dyDescent="0.25">
      <c r="A253">
        <v>2019</v>
      </c>
      <c r="B253" t="s">
        <v>47</v>
      </c>
      <c r="C253">
        <v>2024</v>
      </c>
      <c r="D253">
        <v>889.02</v>
      </c>
      <c r="E253">
        <v>17</v>
      </c>
      <c r="F253">
        <v>588073.99</v>
      </c>
      <c r="G253">
        <v>395.71</v>
      </c>
      <c r="H253" s="2"/>
    </row>
    <row r="254" spans="1:8" hidden="1" x14ac:dyDescent="0.25">
      <c r="A254">
        <v>2019</v>
      </c>
      <c r="B254" t="s">
        <v>48</v>
      </c>
      <c r="C254">
        <v>2019</v>
      </c>
      <c r="D254">
        <v>464.44</v>
      </c>
      <c r="E254">
        <v>9</v>
      </c>
      <c r="F254">
        <v>734237.05</v>
      </c>
      <c r="G254">
        <v>460.51</v>
      </c>
      <c r="H254" s="2">
        <f t="shared" ref="H254" si="40">SUM(E254:E259)</f>
        <v>62</v>
      </c>
    </row>
    <row r="255" spans="1:8" hidden="1" x14ac:dyDescent="0.25">
      <c r="A255">
        <v>2019</v>
      </c>
      <c r="B255" t="s">
        <v>48</v>
      </c>
      <c r="C255">
        <v>2020</v>
      </c>
      <c r="D255">
        <v>815.23</v>
      </c>
      <c r="E255">
        <v>17</v>
      </c>
      <c r="F255">
        <v>708823.43</v>
      </c>
      <c r="G255">
        <v>459.13</v>
      </c>
      <c r="H255" s="2"/>
    </row>
    <row r="256" spans="1:8" hidden="1" x14ac:dyDescent="0.25">
      <c r="A256">
        <v>2019</v>
      </c>
      <c r="B256" t="s">
        <v>48</v>
      </c>
      <c r="C256">
        <v>2021</v>
      </c>
      <c r="D256">
        <v>0</v>
      </c>
      <c r="E256">
        <v>0</v>
      </c>
      <c r="F256">
        <v>718773.12</v>
      </c>
      <c r="G256">
        <v>458.49</v>
      </c>
      <c r="H256" s="2"/>
    </row>
    <row r="257" spans="1:8" hidden="1" x14ac:dyDescent="0.25">
      <c r="A257">
        <v>2019</v>
      </c>
      <c r="B257" t="s">
        <v>48</v>
      </c>
      <c r="C257">
        <v>2022</v>
      </c>
      <c r="D257">
        <v>194.5</v>
      </c>
      <c r="E257">
        <v>3</v>
      </c>
      <c r="F257">
        <v>680915.28</v>
      </c>
      <c r="G257">
        <v>453.19</v>
      </c>
      <c r="H257" s="2"/>
    </row>
    <row r="258" spans="1:8" hidden="1" x14ac:dyDescent="0.25">
      <c r="A258">
        <v>2019</v>
      </c>
      <c r="B258" t="s">
        <v>48</v>
      </c>
      <c r="C258">
        <v>2023</v>
      </c>
      <c r="D258">
        <v>749.19</v>
      </c>
      <c r="E258">
        <v>12</v>
      </c>
      <c r="F258">
        <v>719672.03</v>
      </c>
      <c r="G258">
        <v>460.51</v>
      </c>
      <c r="H258" s="2"/>
    </row>
    <row r="259" spans="1:8" hidden="1" x14ac:dyDescent="0.25">
      <c r="A259">
        <v>2019</v>
      </c>
      <c r="B259" t="s">
        <v>48</v>
      </c>
      <c r="C259">
        <v>2024</v>
      </c>
      <c r="D259">
        <v>743.63</v>
      </c>
      <c r="E259">
        <v>21</v>
      </c>
      <c r="F259">
        <v>724447.28</v>
      </c>
      <c r="G259">
        <v>453</v>
      </c>
      <c r="H259" s="2"/>
    </row>
    <row r="260" spans="1:8" hidden="1" x14ac:dyDescent="0.25">
      <c r="A260">
        <v>2019</v>
      </c>
      <c r="B260" t="s">
        <v>49</v>
      </c>
      <c r="C260">
        <v>2019</v>
      </c>
      <c r="D260">
        <v>639.04999999999995</v>
      </c>
      <c r="E260">
        <v>14</v>
      </c>
      <c r="F260">
        <v>734190.72</v>
      </c>
      <c r="G260">
        <v>376.11</v>
      </c>
      <c r="H260" s="2">
        <f t="shared" ref="H260" si="41">SUM(E260:E265)</f>
        <v>112</v>
      </c>
    </row>
    <row r="261" spans="1:8" hidden="1" x14ac:dyDescent="0.25">
      <c r="A261">
        <v>2019</v>
      </c>
      <c r="B261" t="s">
        <v>49</v>
      </c>
      <c r="C261">
        <v>2020</v>
      </c>
      <c r="D261">
        <v>528.91</v>
      </c>
      <c r="E261">
        <v>10</v>
      </c>
      <c r="F261">
        <v>713838.9</v>
      </c>
      <c r="G261">
        <v>378.8</v>
      </c>
      <c r="H261" s="2"/>
    </row>
    <row r="262" spans="1:8" hidden="1" x14ac:dyDescent="0.25">
      <c r="A262">
        <v>2019</v>
      </c>
      <c r="B262" t="s">
        <v>49</v>
      </c>
      <c r="C262">
        <v>2021</v>
      </c>
      <c r="D262">
        <v>492.43</v>
      </c>
      <c r="E262">
        <v>11</v>
      </c>
      <c r="F262">
        <v>721796.59</v>
      </c>
      <c r="G262">
        <v>377.03</v>
      </c>
      <c r="H262" s="2"/>
    </row>
    <row r="263" spans="1:8" hidden="1" x14ac:dyDescent="0.25">
      <c r="A263">
        <v>2019</v>
      </c>
      <c r="B263" t="s">
        <v>49</v>
      </c>
      <c r="C263">
        <v>2022</v>
      </c>
      <c r="D263">
        <v>628.62</v>
      </c>
      <c r="E263">
        <v>19</v>
      </c>
      <c r="F263">
        <v>688701.42</v>
      </c>
      <c r="G263">
        <v>372.61</v>
      </c>
      <c r="H263" s="2"/>
    </row>
    <row r="264" spans="1:8" hidden="1" x14ac:dyDescent="0.25">
      <c r="A264">
        <v>2019</v>
      </c>
      <c r="B264" t="s">
        <v>49</v>
      </c>
      <c r="C264">
        <v>2023</v>
      </c>
      <c r="D264">
        <v>790.66</v>
      </c>
      <c r="E264">
        <v>14</v>
      </c>
      <c r="F264">
        <v>721975.37</v>
      </c>
      <c r="G264">
        <v>377.02</v>
      </c>
      <c r="H264" s="2"/>
    </row>
    <row r="265" spans="1:8" hidden="1" x14ac:dyDescent="0.25">
      <c r="A265">
        <v>2019</v>
      </c>
      <c r="B265" t="s">
        <v>49</v>
      </c>
      <c r="C265">
        <v>2024</v>
      </c>
      <c r="D265">
        <v>1913.01</v>
      </c>
      <c r="E265">
        <v>44</v>
      </c>
      <c r="F265">
        <v>721329.85</v>
      </c>
      <c r="G265">
        <v>372.92</v>
      </c>
      <c r="H265" s="2"/>
    </row>
    <row r="266" spans="1:8" hidden="1" x14ac:dyDescent="0.25">
      <c r="A266">
        <v>2019</v>
      </c>
      <c r="B266" t="s">
        <v>50</v>
      </c>
      <c r="C266">
        <v>2019</v>
      </c>
      <c r="D266">
        <v>607.32000000000005</v>
      </c>
      <c r="E266">
        <v>13</v>
      </c>
      <c r="F266">
        <v>697251.86</v>
      </c>
      <c r="G266">
        <v>376.61</v>
      </c>
      <c r="H266" s="2">
        <f t="shared" ref="H266" si="42">SUM(E266:E271)</f>
        <v>113</v>
      </c>
    </row>
    <row r="267" spans="1:8" hidden="1" x14ac:dyDescent="0.25">
      <c r="A267">
        <v>2019</v>
      </c>
      <c r="B267" t="s">
        <v>50</v>
      </c>
      <c r="C267">
        <v>2020</v>
      </c>
      <c r="D267">
        <v>654.61</v>
      </c>
      <c r="E267">
        <v>12</v>
      </c>
      <c r="F267">
        <v>664831.4</v>
      </c>
      <c r="G267">
        <v>375.1</v>
      </c>
      <c r="H267" s="2"/>
    </row>
    <row r="268" spans="1:8" hidden="1" x14ac:dyDescent="0.25">
      <c r="A268">
        <v>2019</v>
      </c>
      <c r="B268" t="s">
        <v>50</v>
      </c>
      <c r="C268">
        <v>2021</v>
      </c>
      <c r="D268">
        <v>1293.22</v>
      </c>
      <c r="E268">
        <v>23</v>
      </c>
      <c r="F268">
        <v>666245.53</v>
      </c>
      <c r="G268">
        <v>374.13</v>
      </c>
      <c r="H268" s="2"/>
    </row>
    <row r="269" spans="1:8" hidden="1" x14ac:dyDescent="0.25">
      <c r="A269">
        <v>2019</v>
      </c>
      <c r="B269" t="s">
        <v>50</v>
      </c>
      <c r="C269">
        <v>2022</v>
      </c>
      <c r="D269">
        <v>1217.3800000000001</v>
      </c>
      <c r="E269">
        <v>24</v>
      </c>
      <c r="F269">
        <v>650665.74</v>
      </c>
      <c r="G269">
        <v>365.85</v>
      </c>
      <c r="H269" s="2"/>
    </row>
    <row r="270" spans="1:8" hidden="1" x14ac:dyDescent="0.25">
      <c r="A270">
        <v>2019</v>
      </c>
      <c r="B270" t="s">
        <v>50</v>
      </c>
      <c r="C270">
        <v>2023</v>
      </c>
      <c r="D270">
        <v>434.66</v>
      </c>
      <c r="E270">
        <v>8</v>
      </c>
      <c r="F270">
        <v>705894.19</v>
      </c>
      <c r="G270">
        <v>383.12</v>
      </c>
      <c r="H270" s="2"/>
    </row>
    <row r="271" spans="1:8" hidden="1" x14ac:dyDescent="0.25">
      <c r="A271">
        <v>2019</v>
      </c>
      <c r="B271" t="s">
        <v>50</v>
      </c>
      <c r="C271">
        <v>2024</v>
      </c>
      <c r="D271">
        <v>1687.92</v>
      </c>
      <c r="E271">
        <v>33</v>
      </c>
      <c r="F271">
        <v>660060.53</v>
      </c>
      <c r="G271">
        <v>371.52</v>
      </c>
      <c r="H271" s="2"/>
    </row>
    <row r="272" spans="1:8" hidden="1" x14ac:dyDescent="0.25">
      <c r="A272">
        <v>2019</v>
      </c>
      <c r="B272" t="s">
        <v>51</v>
      </c>
      <c r="C272">
        <v>2019</v>
      </c>
      <c r="D272">
        <v>756.03</v>
      </c>
      <c r="E272">
        <v>15</v>
      </c>
      <c r="F272">
        <v>793770.13</v>
      </c>
      <c r="G272">
        <v>437.6</v>
      </c>
      <c r="H272" s="2">
        <f t="shared" ref="H272" si="43">SUM(E272:E277)</f>
        <v>98</v>
      </c>
    </row>
    <row r="273" spans="1:8" hidden="1" x14ac:dyDescent="0.25">
      <c r="A273">
        <v>2019</v>
      </c>
      <c r="B273" t="s">
        <v>51</v>
      </c>
      <c r="C273">
        <v>2020</v>
      </c>
      <c r="D273">
        <v>418.91</v>
      </c>
      <c r="E273">
        <v>11</v>
      </c>
      <c r="F273">
        <v>745473.37</v>
      </c>
      <c r="G273">
        <v>433.63</v>
      </c>
      <c r="H273" s="2"/>
    </row>
    <row r="274" spans="1:8" hidden="1" x14ac:dyDescent="0.25">
      <c r="A274">
        <v>2019</v>
      </c>
      <c r="B274" t="s">
        <v>51</v>
      </c>
      <c r="C274">
        <v>2021</v>
      </c>
      <c r="D274">
        <v>326.94</v>
      </c>
      <c r="E274">
        <v>4</v>
      </c>
      <c r="F274">
        <v>755972.06</v>
      </c>
      <c r="G274">
        <v>437.27</v>
      </c>
      <c r="H274" s="2"/>
    </row>
    <row r="275" spans="1:8" hidden="1" x14ac:dyDescent="0.25">
      <c r="A275">
        <v>2019</v>
      </c>
      <c r="B275" t="s">
        <v>51</v>
      </c>
      <c r="C275">
        <v>2022</v>
      </c>
      <c r="D275">
        <v>2377.36</v>
      </c>
      <c r="E275">
        <v>46</v>
      </c>
      <c r="F275">
        <v>719896.58</v>
      </c>
      <c r="G275">
        <v>422.62</v>
      </c>
      <c r="H275" s="2"/>
    </row>
    <row r="276" spans="1:8" hidden="1" x14ac:dyDescent="0.25">
      <c r="A276">
        <v>2019</v>
      </c>
      <c r="B276" t="s">
        <v>51</v>
      </c>
      <c r="C276">
        <v>2023</v>
      </c>
      <c r="D276">
        <v>177.66</v>
      </c>
      <c r="E276">
        <v>2</v>
      </c>
      <c r="F276">
        <v>796617.01</v>
      </c>
      <c r="G276">
        <v>443.1</v>
      </c>
      <c r="H276" s="2"/>
    </row>
    <row r="277" spans="1:8" hidden="1" x14ac:dyDescent="0.25">
      <c r="A277">
        <v>2019</v>
      </c>
      <c r="B277" t="s">
        <v>51</v>
      </c>
      <c r="C277">
        <v>2024</v>
      </c>
      <c r="D277">
        <v>945.65</v>
      </c>
      <c r="E277">
        <v>20</v>
      </c>
      <c r="F277">
        <v>741981.32</v>
      </c>
      <c r="G277">
        <v>427.94</v>
      </c>
      <c r="H277" s="2"/>
    </row>
    <row r="278" spans="1:8" hidden="1" x14ac:dyDescent="0.25">
      <c r="A278">
        <v>2019</v>
      </c>
      <c r="B278" t="s">
        <v>52</v>
      </c>
      <c r="C278">
        <v>2019</v>
      </c>
      <c r="D278">
        <v>250.61</v>
      </c>
      <c r="E278">
        <v>6</v>
      </c>
      <c r="F278">
        <v>652797.19999999995</v>
      </c>
      <c r="G278">
        <v>476.41</v>
      </c>
      <c r="H278" s="2">
        <f t="shared" ref="H278" si="44">SUM(E278:E283)</f>
        <v>136</v>
      </c>
    </row>
    <row r="279" spans="1:8" hidden="1" x14ac:dyDescent="0.25">
      <c r="A279">
        <v>2019</v>
      </c>
      <c r="B279" t="s">
        <v>52</v>
      </c>
      <c r="C279">
        <v>2020</v>
      </c>
      <c r="D279">
        <v>962.51</v>
      </c>
      <c r="E279">
        <v>22</v>
      </c>
      <c r="F279">
        <v>632799.4</v>
      </c>
      <c r="G279">
        <v>466.95</v>
      </c>
      <c r="H279" s="2"/>
    </row>
    <row r="280" spans="1:8" hidden="1" x14ac:dyDescent="0.25">
      <c r="A280">
        <v>2019</v>
      </c>
      <c r="B280" t="s">
        <v>52</v>
      </c>
      <c r="C280">
        <v>2021</v>
      </c>
      <c r="D280">
        <v>899.31</v>
      </c>
      <c r="E280">
        <v>19</v>
      </c>
      <c r="F280">
        <v>647680.94999999995</v>
      </c>
      <c r="G280">
        <v>471.95</v>
      </c>
      <c r="H280" s="2"/>
    </row>
    <row r="281" spans="1:8" hidden="1" x14ac:dyDescent="0.25">
      <c r="A281">
        <v>2019</v>
      </c>
      <c r="B281" t="s">
        <v>52</v>
      </c>
      <c r="C281">
        <v>2022</v>
      </c>
      <c r="D281">
        <v>1432.17</v>
      </c>
      <c r="E281">
        <v>31</v>
      </c>
      <c r="F281">
        <v>645931.42000000004</v>
      </c>
      <c r="G281">
        <v>463.03</v>
      </c>
      <c r="H281" s="2"/>
    </row>
    <row r="282" spans="1:8" hidden="1" x14ac:dyDescent="0.25">
      <c r="A282">
        <v>2019</v>
      </c>
      <c r="B282" t="s">
        <v>52</v>
      </c>
      <c r="C282">
        <v>2023</v>
      </c>
      <c r="D282">
        <v>1422.83</v>
      </c>
      <c r="E282">
        <v>28</v>
      </c>
      <c r="F282">
        <v>652818.97</v>
      </c>
      <c r="G282">
        <v>475.01</v>
      </c>
      <c r="H282" s="2"/>
    </row>
    <row r="283" spans="1:8" hidden="1" x14ac:dyDescent="0.25">
      <c r="A283">
        <v>2019</v>
      </c>
      <c r="B283" t="s">
        <v>52</v>
      </c>
      <c r="C283">
        <v>2024</v>
      </c>
      <c r="D283">
        <v>1771.19</v>
      </c>
      <c r="E283">
        <v>30</v>
      </c>
      <c r="F283">
        <v>636819.96</v>
      </c>
      <c r="G283">
        <v>466.59</v>
      </c>
      <c r="H283" s="2"/>
    </row>
    <row r="284" spans="1:8" hidden="1" x14ac:dyDescent="0.25">
      <c r="A284">
        <v>2019</v>
      </c>
      <c r="B284" t="s">
        <v>53</v>
      </c>
      <c r="C284">
        <v>2019</v>
      </c>
      <c r="D284">
        <v>642.54</v>
      </c>
      <c r="E284">
        <v>13</v>
      </c>
      <c r="F284">
        <v>605097.4</v>
      </c>
      <c r="G284">
        <v>535.62</v>
      </c>
      <c r="H284" s="2">
        <f t="shared" ref="H284" si="45">SUM(E284:E289)</f>
        <v>158</v>
      </c>
    </row>
    <row r="285" spans="1:8" hidden="1" x14ac:dyDescent="0.25">
      <c r="A285">
        <v>2019</v>
      </c>
      <c r="B285" t="s">
        <v>53</v>
      </c>
      <c r="C285">
        <v>2020</v>
      </c>
      <c r="D285">
        <v>922.1</v>
      </c>
      <c r="E285">
        <v>18</v>
      </c>
      <c r="F285">
        <v>579249.5</v>
      </c>
      <c r="G285">
        <v>526.30999999999995</v>
      </c>
      <c r="H285" s="2"/>
    </row>
    <row r="286" spans="1:8" hidden="1" x14ac:dyDescent="0.25">
      <c r="A286">
        <v>2019</v>
      </c>
      <c r="B286" t="s">
        <v>53</v>
      </c>
      <c r="C286">
        <v>2021</v>
      </c>
      <c r="D286">
        <v>1529.74</v>
      </c>
      <c r="E286">
        <v>31</v>
      </c>
      <c r="F286">
        <v>590383.99</v>
      </c>
      <c r="G286">
        <v>528.45000000000005</v>
      </c>
      <c r="H286" s="2"/>
    </row>
    <row r="287" spans="1:8" hidden="1" x14ac:dyDescent="0.25">
      <c r="A287">
        <v>2019</v>
      </c>
      <c r="B287" t="s">
        <v>53</v>
      </c>
      <c r="C287">
        <v>2022</v>
      </c>
      <c r="D287">
        <v>1723</v>
      </c>
      <c r="E287">
        <v>41</v>
      </c>
      <c r="F287">
        <v>581778.61</v>
      </c>
      <c r="G287">
        <v>515.22</v>
      </c>
      <c r="H287" s="2"/>
    </row>
    <row r="288" spans="1:8" hidden="1" x14ac:dyDescent="0.25">
      <c r="A288">
        <v>2019</v>
      </c>
      <c r="B288" t="s">
        <v>53</v>
      </c>
      <c r="C288">
        <v>2023</v>
      </c>
      <c r="D288">
        <v>486.99</v>
      </c>
      <c r="E288">
        <v>11</v>
      </c>
      <c r="F288">
        <v>602342.68999999994</v>
      </c>
      <c r="G288">
        <v>541.65</v>
      </c>
      <c r="H288" s="2"/>
    </row>
    <row r="289" spans="1:8" hidden="1" x14ac:dyDescent="0.25">
      <c r="A289">
        <v>2019</v>
      </c>
      <c r="B289" t="s">
        <v>53</v>
      </c>
      <c r="C289">
        <v>2024</v>
      </c>
      <c r="D289">
        <v>2472.8000000000002</v>
      </c>
      <c r="E289">
        <v>44</v>
      </c>
      <c r="F289">
        <v>569675.79</v>
      </c>
      <c r="G289">
        <v>520.69000000000005</v>
      </c>
      <c r="H289" s="2"/>
    </row>
    <row r="290" spans="1:8" hidden="1" x14ac:dyDescent="0.25">
      <c r="A290">
        <v>2020</v>
      </c>
      <c r="B290" t="s">
        <v>7</v>
      </c>
      <c r="C290">
        <v>2019</v>
      </c>
      <c r="D290">
        <v>0</v>
      </c>
      <c r="E290">
        <v>0</v>
      </c>
      <c r="F290">
        <v>923493.68</v>
      </c>
      <c r="G290">
        <v>419.44</v>
      </c>
      <c r="H290" s="2">
        <f t="shared" ref="H290" si="46">SUM(E290:E295)</f>
        <v>53</v>
      </c>
    </row>
    <row r="291" spans="1:8" hidden="1" x14ac:dyDescent="0.25">
      <c r="A291">
        <v>2020</v>
      </c>
      <c r="B291" t="s">
        <v>7</v>
      </c>
      <c r="C291">
        <v>2020</v>
      </c>
      <c r="D291">
        <v>92.03</v>
      </c>
      <c r="E291">
        <v>4</v>
      </c>
      <c r="F291">
        <v>870110.48</v>
      </c>
      <c r="G291">
        <v>411.16</v>
      </c>
      <c r="H291" s="2"/>
    </row>
    <row r="292" spans="1:8" hidden="1" x14ac:dyDescent="0.25">
      <c r="A292">
        <v>2020</v>
      </c>
      <c r="B292" t="s">
        <v>7</v>
      </c>
      <c r="C292">
        <v>2021</v>
      </c>
      <c r="D292">
        <v>249.86</v>
      </c>
      <c r="E292">
        <v>4</v>
      </c>
      <c r="F292">
        <v>909172.95</v>
      </c>
      <c r="G292">
        <v>415.03</v>
      </c>
      <c r="H292" s="2"/>
    </row>
    <row r="293" spans="1:8" hidden="1" x14ac:dyDescent="0.25">
      <c r="A293">
        <v>2020</v>
      </c>
      <c r="B293" t="s">
        <v>7</v>
      </c>
      <c r="C293">
        <v>2022</v>
      </c>
      <c r="D293">
        <v>885.72</v>
      </c>
      <c r="E293">
        <v>17</v>
      </c>
      <c r="F293">
        <v>874605.82</v>
      </c>
      <c r="G293">
        <v>412.23</v>
      </c>
      <c r="H293" s="2"/>
    </row>
    <row r="294" spans="1:8" hidden="1" x14ac:dyDescent="0.25">
      <c r="A294">
        <v>2020</v>
      </c>
      <c r="B294" t="s">
        <v>7</v>
      </c>
      <c r="C294">
        <v>2023</v>
      </c>
      <c r="D294">
        <v>775.41</v>
      </c>
      <c r="E294">
        <v>15</v>
      </c>
      <c r="F294">
        <v>896640.7</v>
      </c>
      <c r="G294">
        <v>417.48</v>
      </c>
      <c r="H294" s="2"/>
    </row>
    <row r="295" spans="1:8" hidden="1" x14ac:dyDescent="0.25">
      <c r="A295">
        <v>2020</v>
      </c>
      <c r="B295" t="s">
        <v>7</v>
      </c>
      <c r="C295">
        <v>2024</v>
      </c>
      <c r="D295">
        <v>473.17</v>
      </c>
      <c r="E295">
        <v>13</v>
      </c>
      <c r="F295">
        <v>904694.59</v>
      </c>
      <c r="G295">
        <v>413.28</v>
      </c>
      <c r="H295" s="2"/>
    </row>
    <row r="296" spans="1:8" hidden="1" x14ac:dyDescent="0.25">
      <c r="A296">
        <v>2020</v>
      </c>
      <c r="B296" t="s">
        <v>8</v>
      </c>
      <c r="C296">
        <v>2019</v>
      </c>
      <c r="D296">
        <v>0</v>
      </c>
      <c r="E296">
        <v>0</v>
      </c>
      <c r="F296">
        <v>890886.99</v>
      </c>
      <c r="G296">
        <v>501.08</v>
      </c>
      <c r="H296" s="2">
        <f t="shared" ref="H296" si="47">SUM(E296:E301)</f>
        <v>45</v>
      </c>
    </row>
    <row r="297" spans="1:8" hidden="1" x14ac:dyDescent="0.25">
      <c r="A297">
        <v>2020</v>
      </c>
      <c r="B297" t="s">
        <v>8</v>
      </c>
      <c r="C297">
        <v>2020</v>
      </c>
      <c r="D297">
        <v>232.18</v>
      </c>
      <c r="E297">
        <v>9</v>
      </c>
      <c r="F297">
        <v>836840.04</v>
      </c>
      <c r="G297">
        <v>493.69</v>
      </c>
      <c r="H297" s="2"/>
    </row>
    <row r="298" spans="1:8" hidden="1" x14ac:dyDescent="0.25">
      <c r="A298">
        <v>2020</v>
      </c>
      <c r="B298" t="s">
        <v>8</v>
      </c>
      <c r="C298">
        <v>2021</v>
      </c>
      <c r="D298">
        <v>248.06</v>
      </c>
      <c r="E298">
        <v>4</v>
      </c>
      <c r="F298">
        <v>855423.89</v>
      </c>
      <c r="G298">
        <v>499.25</v>
      </c>
      <c r="H298" s="2"/>
    </row>
    <row r="299" spans="1:8" hidden="1" x14ac:dyDescent="0.25">
      <c r="A299">
        <v>2020</v>
      </c>
      <c r="B299" t="s">
        <v>8</v>
      </c>
      <c r="C299">
        <v>2022</v>
      </c>
      <c r="D299">
        <v>585.09</v>
      </c>
      <c r="E299">
        <v>13</v>
      </c>
      <c r="F299">
        <v>807768.41</v>
      </c>
      <c r="G299">
        <v>491.79</v>
      </c>
      <c r="H299" s="2"/>
    </row>
    <row r="300" spans="1:8" hidden="1" x14ac:dyDescent="0.25">
      <c r="A300">
        <v>2020</v>
      </c>
      <c r="B300" t="s">
        <v>8</v>
      </c>
      <c r="C300">
        <v>2023</v>
      </c>
      <c r="D300">
        <v>460.68</v>
      </c>
      <c r="E300">
        <v>10</v>
      </c>
      <c r="F300">
        <v>846899.52</v>
      </c>
      <c r="G300">
        <v>499.99</v>
      </c>
      <c r="H300" s="2"/>
    </row>
    <row r="301" spans="1:8" hidden="1" x14ac:dyDescent="0.25">
      <c r="A301">
        <v>2020</v>
      </c>
      <c r="B301" t="s">
        <v>8</v>
      </c>
      <c r="C301">
        <v>2024</v>
      </c>
      <c r="D301">
        <v>410.85</v>
      </c>
      <c r="E301">
        <v>9</v>
      </c>
      <c r="F301">
        <v>853102.34</v>
      </c>
      <c r="G301">
        <v>495.64</v>
      </c>
      <c r="H301" s="2"/>
    </row>
    <row r="302" spans="1:8" hidden="1" x14ac:dyDescent="0.25">
      <c r="A302">
        <v>2020</v>
      </c>
      <c r="B302" t="s">
        <v>9</v>
      </c>
      <c r="C302">
        <v>2019</v>
      </c>
      <c r="D302">
        <v>437.15</v>
      </c>
      <c r="E302">
        <v>9</v>
      </c>
      <c r="F302">
        <v>805784.99</v>
      </c>
      <c r="G302">
        <v>521.16999999999996</v>
      </c>
      <c r="H302" s="2">
        <f t="shared" ref="H302" si="48">SUM(E302:E307)</f>
        <v>181</v>
      </c>
    </row>
    <row r="303" spans="1:8" hidden="1" x14ac:dyDescent="0.25">
      <c r="A303">
        <v>2020</v>
      </c>
      <c r="B303" t="s">
        <v>9</v>
      </c>
      <c r="C303">
        <v>2020</v>
      </c>
      <c r="D303">
        <v>674.66</v>
      </c>
      <c r="E303">
        <v>13</v>
      </c>
      <c r="F303">
        <v>775739.11</v>
      </c>
      <c r="G303">
        <v>513.12</v>
      </c>
      <c r="H303" s="2"/>
    </row>
    <row r="304" spans="1:8" hidden="1" x14ac:dyDescent="0.25">
      <c r="A304">
        <v>2020</v>
      </c>
      <c r="B304" t="s">
        <v>9</v>
      </c>
      <c r="C304">
        <v>2021</v>
      </c>
      <c r="D304">
        <v>2808.64</v>
      </c>
      <c r="E304">
        <v>62</v>
      </c>
      <c r="F304">
        <v>766756.9</v>
      </c>
      <c r="G304">
        <v>499.03</v>
      </c>
      <c r="H304" s="2"/>
    </row>
    <row r="305" spans="1:8" hidden="1" x14ac:dyDescent="0.25">
      <c r="A305">
        <v>2020</v>
      </c>
      <c r="B305" t="s">
        <v>9</v>
      </c>
      <c r="C305">
        <v>2022</v>
      </c>
      <c r="D305">
        <v>2663.35</v>
      </c>
      <c r="E305">
        <v>49</v>
      </c>
      <c r="F305">
        <v>731450.53</v>
      </c>
      <c r="G305">
        <v>498.76</v>
      </c>
      <c r="H305" s="2"/>
    </row>
    <row r="306" spans="1:8" hidden="1" x14ac:dyDescent="0.25">
      <c r="A306">
        <v>2020</v>
      </c>
      <c r="B306" t="s">
        <v>9</v>
      </c>
      <c r="C306">
        <v>2023</v>
      </c>
      <c r="D306">
        <v>1947.02</v>
      </c>
      <c r="E306">
        <v>34</v>
      </c>
      <c r="F306">
        <v>757542.63</v>
      </c>
      <c r="G306">
        <v>506.23</v>
      </c>
      <c r="H306" s="2"/>
    </row>
    <row r="307" spans="1:8" hidden="1" x14ac:dyDescent="0.25">
      <c r="A307">
        <v>2020</v>
      </c>
      <c r="B307" t="s">
        <v>9</v>
      </c>
      <c r="C307">
        <v>2024</v>
      </c>
      <c r="D307">
        <v>476.31</v>
      </c>
      <c r="E307">
        <v>14</v>
      </c>
      <c r="F307">
        <v>803591.61</v>
      </c>
      <c r="G307">
        <v>511.99</v>
      </c>
      <c r="H307" s="2"/>
    </row>
    <row r="308" spans="1:8" hidden="1" x14ac:dyDescent="0.25">
      <c r="A308">
        <v>2020</v>
      </c>
      <c r="B308" t="s">
        <v>10</v>
      </c>
      <c r="C308">
        <v>2019</v>
      </c>
      <c r="D308">
        <v>0</v>
      </c>
      <c r="E308">
        <v>0</v>
      </c>
      <c r="F308">
        <v>874305.24</v>
      </c>
      <c r="G308">
        <v>501.35</v>
      </c>
      <c r="H308" s="2">
        <f t="shared" ref="H308" si="49">SUM(E308:E313)</f>
        <v>30</v>
      </c>
    </row>
    <row r="309" spans="1:8" hidden="1" x14ac:dyDescent="0.25">
      <c r="A309">
        <v>2020</v>
      </c>
      <c r="B309" t="s">
        <v>10</v>
      </c>
      <c r="C309">
        <v>2020</v>
      </c>
      <c r="D309">
        <v>489.63</v>
      </c>
      <c r="E309">
        <v>10</v>
      </c>
      <c r="F309">
        <v>843518.91</v>
      </c>
      <c r="G309">
        <v>492.38</v>
      </c>
      <c r="H309" s="2"/>
    </row>
    <row r="310" spans="1:8" hidden="1" x14ac:dyDescent="0.25">
      <c r="A310">
        <v>2020</v>
      </c>
      <c r="B310" t="s">
        <v>10</v>
      </c>
      <c r="C310">
        <v>2021</v>
      </c>
      <c r="D310">
        <v>0</v>
      </c>
      <c r="E310">
        <v>0</v>
      </c>
      <c r="F310">
        <v>869438.8</v>
      </c>
      <c r="G310">
        <v>502.65</v>
      </c>
      <c r="H310" s="2"/>
    </row>
    <row r="311" spans="1:8" hidden="1" x14ac:dyDescent="0.25">
      <c r="A311">
        <v>2020</v>
      </c>
      <c r="B311" t="s">
        <v>10</v>
      </c>
      <c r="C311">
        <v>2022</v>
      </c>
      <c r="D311">
        <v>117.12</v>
      </c>
      <c r="E311">
        <v>3</v>
      </c>
      <c r="F311">
        <v>832900.97</v>
      </c>
      <c r="G311">
        <v>499.14</v>
      </c>
      <c r="H311" s="2"/>
    </row>
    <row r="312" spans="1:8" hidden="1" x14ac:dyDescent="0.25">
      <c r="A312">
        <v>2020</v>
      </c>
      <c r="B312" t="s">
        <v>10</v>
      </c>
      <c r="C312">
        <v>2023</v>
      </c>
      <c r="D312">
        <v>823.71</v>
      </c>
      <c r="E312">
        <v>12</v>
      </c>
      <c r="F312">
        <v>869627.18</v>
      </c>
      <c r="G312">
        <v>500.24</v>
      </c>
      <c r="H312" s="2"/>
    </row>
    <row r="313" spans="1:8" hidden="1" x14ac:dyDescent="0.25">
      <c r="A313">
        <v>2020</v>
      </c>
      <c r="B313" t="s">
        <v>10</v>
      </c>
      <c r="C313">
        <v>2024</v>
      </c>
      <c r="D313">
        <v>214.19</v>
      </c>
      <c r="E313">
        <v>5</v>
      </c>
      <c r="F313">
        <v>859950.18</v>
      </c>
      <c r="G313">
        <v>498.51</v>
      </c>
      <c r="H313" s="2"/>
    </row>
    <row r="314" spans="1:8" hidden="1" x14ac:dyDescent="0.25">
      <c r="A314">
        <v>2020</v>
      </c>
      <c r="B314" t="s">
        <v>11</v>
      </c>
      <c r="C314">
        <v>2019</v>
      </c>
      <c r="D314">
        <v>0</v>
      </c>
      <c r="E314">
        <v>0</v>
      </c>
      <c r="F314">
        <v>802522.1</v>
      </c>
      <c r="G314">
        <v>631.52</v>
      </c>
      <c r="H314" s="2">
        <f t="shared" ref="H314" si="50">SUM(E314:E319)</f>
        <v>16</v>
      </c>
    </row>
    <row r="315" spans="1:8" hidden="1" x14ac:dyDescent="0.25">
      <c r="A315">
        <v>2020</v>
      </c>
      <c r="B315" t="s">
        <v>11</v>
      </c>
      <c r="C315">
        <v>2020</v>
      </c>
      <c r="D315">
        <v>254.3</v>
      </c>
      <c r="E315">
        <v>7</v>
      </c>
      <c r="F315">
        <v>768085.32</v>
      </c>
      <c r="G315">
        <v>619.05999999999995</v>
      </c>
      <c r="H315" s="2"/>
    </row>
    <row r="316" spans="1:8" hidden="1" x14ac:dyDescent="0.25">
      <c r="A316">
        <v>2020</v>
      </c>
      <c r="B316" t="s">
        <v>11</v>
      </c>
      <c r="C316">
        <v>2021</v>
      </c>
      <c r="D316">
        <v>122.01</v>
      </c>
      <c r="E316">
        <v>2</v>
      </c>
      <c r="F316">
        <v>794640.66</v>
      </c>
      <c r="G316">
        <v>628.66</v>
      </c>
      <c r="H316" s="2"/>
    </row>
    <row r="317" spans="1:8" hidden="1" x14ac:dyDescent="0.25">
      <c r="A317">
        <v>2020</v>
      </c>
      <c r="B317" t="s">
        <v>11</v>
      </c>
      <c r="C317">
        <v>2022</v>
      </c>
      <c r="D317">
        <v>0</v>
      </c>
      <c r="E317">
        <v>0</v>
      </c>
      <c r="F317">
        <v>762792.5</v>
      </c>
      <c r="G317">
        <v>624.83000000000004</v>
      </c>
      <c r="H317" s="2"/>
    </row>
    <row r="318" spans="1:8" hidden="1" x14ac:dyDescent="0.25">
      <c r="A318">
        <v>2020</v>
      </c>
      <c r="B318" t="s">
        <v>11</v>
      </c>
      <c r="C318">
        <v>2023</v>
      </c>
      <c r="D318">
        <v>440.3</v>
      </c>
      <c r="E318">
        <v>6</v>
      </c>
      <c r="F318">
        <v>796804.78</v>
      </c>
      <c r="G318">
        <v>629.66999999999996</v>
      </c>
      <c r="H318" s="2"/>
    </row>
    <row r="319" spans="1:8" hidden="1" x14ac:dyDescent="0.25">
      <c r="A319">
        <v>2020</v>
      </c>
      <c r="B319" t="s">
        <v>11</v>
      </c>
      <c r="C319">
        <v>2024</v>
      </c>
      <c r="D319">
        <v>58.5</v>
      </c>
      <c r="E319">
        <v>1</v>
      </c>
      <c r="F319">
        <v>804738.04</v>
      </c>
      <c r="G319">
        <v>629.09</v>
      </c>
      <c r="H319" s="2"/>
    </row>
    <row r="320" spans="1:8" hidden="1" x14ac:dyDescent="0.25">
      <c r="A320">
        <v>2020</v>
      </c>
      <c r="B320" t="s">
        <v>12</v>
      </c>
      <c r="C320">
        <v>2019</v>
      </c>
      <c r="D320">
        <v>235.37</v>
      </c>
      <c r="E320">
        <v>6</v>
      </c>
      <c r="F320">
        <v>825852.77</v>
      </c>
      <c r="G320">
        <v>426.16</v>
      </c>
      <c r="H320" s="2">
        <f t="shared" ref="H320" si="51">SUM(E320:E325)</f>
        <v>29</v>
      </c>
    </row>
    <row r="321" spans="1:8" hidden="1" x14ac:dyDescent="0.25">
      <c r="A321">
        <v>2020</v>
      </c>
      <c r="B321" t="s">
        <v>12</v>
      </c>
      <c r="C321">
        <v>2020</v>
      </c>
      <c r="D321">
        <v>156.97</v>
      </c>
      <c r="E321">
        <v>4</v>
      </c>
      <c r="F321">
        <v>796242.96</v>
      </c>
      <c r="G321">
        <v>419.52</v>
      </c>
      <c r="H321" s="2"/>
    </row>
    <row r="322" spans="1:8" hidden="1" x14ac:dyDescent="0.25">
      <c r="A322">
        <v>2020</v>
      </c>
      <c r="B322" t="s">
        <v>12</v>
      </c>
      <c r="C322">
        <v>2021</v>
      </c>
      <c r="D322">
        <v>0</v>
      </c>
      <c r="E322">
        <v>0</v>
      </c>
      <c r="F322">
        <v>812037.21</v>
      </c>
      <c r="G322">
        <v>426.32</v>
      </c>
      <c r="H322" s="2"/>
    </row>
    <row r="323" spans="1:8" hidden="1" x14ac:dyDescent="0.25">
      <c r="A323">
        <v>2020</v>
      </c>
      <c r="B323" t="s">
        <v>12</v>
      </c>
      <c r="C323">
        <v>2022</v>
      </c>
      <c r="D323">
        <v>150.81</v>
      </c>
      <c r="E323">
        <v>2</v>
      </c>
      <c r="F323">
        <v>774629.56</v>
      </c>
      <c r="G323">
        <v>422.46</v>
      </c>
      <c r="H323" s="2"/>
    </row>
    <row r="324" spans="1:8" hidden="1" x14ac:dyDescent="0.25">
      <c r="A324">
        <v>2020</v>
      </c>
      <c r="B324" t="s">
        <v>12</v>
      </c>
      <c r="C324">
        <v>2023</v>
      </c>
      <c r="D324">
        <v>32.82</v>
      </c>
      <c r="E324">
        <v>1</v>
      </c>
      <c r="F324">
        <v>817237.56</v>
      </c>
      <c r="G324">
        <v>423.63</v>
      </c>
      <c r="H324" s="2"/>
    </row>
    <row r="325" spans="1:8" hidden="1" x14ac:dyDescent="0.25">
      <c r="A325">
        <v>2020</v>
      </c>
      <c r="B325" t="s">
        <v>12</v>
      </c>
      <c r="C325">
        <v>2024</v>
      </c>
      <c r="D325">
        <v>618.65</v>
      </c>
      <c r="E325">
        <v>16</v>
      </c>
      <c r="F325">
        <v>817049.66</v>
      </c>
      <c r="G325">
        <v>422.99</v>
      </c>
      <c r="H325" s="2"/>
    </row>
    <row r="326" spans="1:8" hidden="1" x14ac:dyDescent="0.25">
      <c r="A326">
        <v>2020</v>
      </c>
      <c r="B326" t="s">
        <v>13</v>
      </c>
      <c r="C326">
        <v>2019</v>
      </c>
      <c r="D326">
        <v>336.79</v>
      </c>
      <c r="E326">
        <v>9</v>
      </c>
      <c r="F326">
        <v>776482.41</v>
      </c>
      <c r="G326">
        <v>414.89</v>
      </c>
      <c r="H326" s="2">
        <f t="shared" ref="H326" si="52">SUM(E326:E331)</f>
        <v>39</v>
      </c>
    </row>
    <row r="327" spans="1:8" hidden="1" x14ac:dyDescent="0.25">
      <c r="A327">
        <v>2020</v>
      </c>
      <c r="B327" t="s">
        <v>13</v>
      </c>
      <c r="C327">
        <v>2020</v>
      </c>
      <c r="D327">
        <v>114.19</v>
      </c>
      <c r="E327">
        <v>2</v>
      </c>
      <c r="F327">
        <v>751347.32</v>
      </c>
      <c r="G327">
        <v>409.2</v>
      </c>
      <c r="H327" s="2"/>
    </row>
    <row r="328" spans="1:8" hidden="1" x14ac:dyDescent="0.25">
      <c r="A328">
        <v>2020</v>
      </c>
      <c r="B328" t="s">
        <v>13</v>
      </c>
      <c r="C328">
        <v>2021</v>
      </c>
      <c r="D328">
        <v>0</v>
      </c>
      <c r="E328">
        <v>0</v>
      </c>
      <c r="F328">
        <v>764263.41</v>
      </c>
      <c r="G328">
        <v>415.01</v>
      </c>
      <c r="H328" s="2"/>
    </row>
    <row r="329" spans="1:8" hidden="1" x14ac:dyDescent="0.25">
      <c r="A329">
        <v>2020</v>
      </c>
      <c r="B329" t="s">
        <v>13</v>
      </c>
      <c r="C329">
        <v>2022</v>
      </c>
      <c r="D329">
        <v>305.51</v>
      </c>
      <c r="E329">
        <v>7</v>
      </c>
      <c r="F329">
        <v>725752.58</v>
      </c>
      <c r="G329">
        <v>410.83</v>
      </c>
      <c r="H329" s="2"/>
    </row>
    <row r="330" spans="1:8" hidden="1" x14ac:dyDescent="0.25">
      <c r="A330">
        <v>2020</v>
      </c>
      <c r="B330" t="s">
        <v>13</v>
      </c>
      <c r="C330">
        <v>2023</v>
      </c>
      <c r="D330">
        <v>136.47999999999999</v>
      </c>
      <c r="E330">
        <v>2</v>
      </c>
      <c r="F330">
        <v>767448.31</v>
      </c>
      <c r="G330">
        <v>413.83</v>
      </c>
      <c r="H330" s="2"/>
    </row>
    <row r="331" spans="1:8" hidden="1" x14ac:dyDescent="0.25">
      <c r="A331">
        <v>2020</v>
      </c>
      <c r="B331" t="s">
        <v>13</v>
      </c>
      <c r="C331">
        <v>2024</v>
      </c>
      <c r="D331">
        <v>775.57</v>
      </c>
      <c r="E331">
        <v>19</v>
      </c>
      <c r="F331">
        <v>768914.26</v>
      </c>
      <c r="G331">
        <v>411.75</v>
      </c>
      <c r="H331" s="2"/>
    </row>
    <row r="332" spans="1:8" hidden="1" x14ac:dyDescent="0.25">
      <c r="A332">
        <v>2020</v>
      </c>
      <c r="B332" t="s">
        <v>14</v>
      </c>
      <c r="C332">
        <v>2019</v>
      </c>
      <c r="D332">
        <v>643.44000000000005</v>
      </c>
      <c r="E332">
        <v>17</v>
      </c>
      <c r="F332">
        <v>725349.37</v>
      </c>
      <c r="G332">
        <v>352.9</v>
      </c>
      <c r="H332" s="2">
        <f t="shared" ref="H332" si="53">SUM(E332:E337)</f>
        <v>110</v>
      </c>
    </row>
    <row r="333" spans="1:8" hidden="1" x14ac:dyDescent="0.25">
      <c r="A333">
        <v>2020</v>
      </c>
      <c r="B333" t="s">
        <v>14</v>
      </c>
      <c r="C333">
        <v>2020</v>
      </c>
      <c r="D333">
        <v>685</v>
      </c>
      <c r="E333">
        <v>15</v>
      </c>
      <c r="F333">
        <v>699181.21</v>
      </c>
      <c r="G333">
        <v>349.51</v>
      </c>
      <c r="H333" s="2"/>
    </row>
    <row r="334" spans="1:8" hidden="1" x14ac:dyDescent="0.25">
      <c r="A334">
        <v>2020</v>
      </c>
      <c r="B334" t="s">
        <v>14</v>
      </c>
      <c r="C334">
        <v>2021</v>
      </c>
      <c r="D334">
        <v>493.14</v>
      </c>
      <c r="E334">
        <v>16</v>
      </c>
      <c r="F334">
        <v>712404.92</v>
      </c>
      <c r="G334">
        <v>348.47</v>
      </c>
      <c r="H334" s="2"/>
    </row>
    <row r="335" spans="1:8" hidden="1" x14ac:dyDescent="0.25">
      <c r="A335">
        <v>2020</v>
      </c>
      <c r="B335" t="s">
        <v>14</v>
      </c>
      <c r="C335">
        <v>2022</v>
      </c>
      <c r="D335">
        <v>722.46</v>
      </c>
      <c r="E335">
        <v>12</v>
      </c>
      <c r="F335">
        <v>687086.93</v>
      </c>
      <c r="G335">
        <v>349.08</v>
      </c>
      <c r="H335" s="2"/>
    </row>
    <row r="336" spans="1:8" hidden="1" x14ac:dyDescent="0.25">
      <c r="A336">
        <v>2020</v>
      </c>
      <c r="B336" t="s">
        <v>14</v>
      </c>
      <c r="C336">
        <v>2023</v>
      </c>
      <c r="D336">
        <v>908.04</v>
      </c>
      <c r="E336">
        <v>14</v>
      </c>
      <c r="F336">
        <v>706050.33</v>
      </c>
      <c r="G336">
        <v>350.81</v>
      </c>
      <c r="H336" s="2"/>
    </row>
    <row r="337" spans="1:8" hidden="1" x14ac:dyDescent="0.25">
      <c r="A337">
        <v>2020</v>
      </c>
      <c r="B337" t="s">
        <v>14</v>
      </c>
      <c r="C337">
        <v>2024</v>
      </c>
      <c r="D337">
        <v>1688</v>
      </c>
      <c r="E337">
        <v>36</v>
      </c>
      <c r="F337">
        <v>713228.49</v>
      </c>
      <c r="G337">
        <v>349.53</v>
      </c>
      <c r="H337" s="2"/>
    </row>
    <row r="338" spans="1:8" hidden="1" x14ac:dyDescent="0.25">
      <c r="A338">
        <v>2020</v>
      </c>
      <c r="B338" t="s">
        <v>15</v>
      </c>
      <c r="C338">
        <v>2019</v>
      </c>
      <c r="D338">
        <v>542.61</v>
      </c>
      <c r="E338">
        <v>16</v>
      </c>
      <c r="F338">
        <v>754592.18</v>
      </c>
      <c r="G338">
        <v>350.96</v>
      </c>
      <c r="H338" s="2">
        <f t="shared" ref="H338" si="54">SUM(E338:E343)</f>
        <v>94</v>
      </c>
    </row>
    <row r="339" spans="1:8" hidden="1" x14ac:dyDescent="0.25">
      <c r="A339">
        <v>2020</v>
      </c>
      <c r="B339" t="s">
        <v>15</v>
      </c>
      <c r="C339">
        <v>2020</v>
      </c>
      <c r="D339">
        <v>517.28</v>
      </c>
      <c r="E339">
        <v>11</v>
      </c>
      <c r="F339">
        <v>728763.27</v>
      </c>
      <c r="G339">
        <v>347.62</v>
      </c>
      <c r="H339" s="2"/>
    </row>
    <row r="340" spans="1:8" hidden="1" x14ac:dyDescent="0.25">
      <c r="A340">
        <v>2020</v>
      </c>
      <c r="B340" t="s">
        <v>15</v>
      </c>
      <c r="C340">
        <v>2021</v>
      </c>
      <c r="D340">
        <v>510.97</v>
      </c>
      <c r="E340">
        <v>15</v>
      </c>
      <c r="F340">
        <v>742151.98</v>
      </c>
      <c r="G340">
        <v>346.89</v>
      </c>
      <c r="H340" s="2"/>
    </row>
    <row r="341" spans="1:8" hidden="1" x14ac:dyDescent="0.25">
      <c r="A341">
        <v>2020</v>
      </c>
      <c r="B341" t="s">
        <v>15</v>
      </c>
      <c r="C341">
        <v>2022</v>
      </c>
      <c r="D341">
        <v>669.11</v>
      </c>
      <c r="E341">
        <v>12</v>
      </c>
      <c r="F341">
        <v>716564.47999999998</v>
      </c>
      <c r="G341">
        <v>347.92</v>
      </c>
      <c r="H341" s="2"/>
    </row>
    <row r="342" spans="1:8" hidden="1" x14ac:dyDescent="0.25">
      <c r="A342">
        <v>2020</v>
      </c>
      <c r="B342" t="s">
        <v>15</v>
      </c>
      <c r="C342">
        <v>2023</v>
      </c>
      <c r="D342">
        <v>780.48</v>
      </c>
      <c r="E342">
        <v>12</v>
      </c>
      <c r="F342">
        <v>734954.69</v>
      </c>
      <c r="G342">
        <v>349.21</v>
      </c>
      <c r="H342" s="2"/>
    </row>
    <row r="343" spans="1:8" hidden="1" x14ac:dyDescent="0.25">
      <c r="A343">
        <v>2020</v>
      </c>
      <c r="B343" t="s">
        <v>15</v>
      </c>
      <c r="C343">
        <v>2024</v>
      </c>
      <c r="D343">
        <v>1436.83</v>
      </c>
      <c r="E343">
        <v>28</v>
      </c>
      <c r="F343">
        <v>743632.61</v>
      </c>
      <c r="G343">
        <v>348.35</v>
      </c>
      <c r="H343" s="2"/>
    </row>
    <row r="344" spans="1:8" hidden="1" x14ac:dyDescent="0.25">
      <c r="A344">
        <v>2020</v>
      </c>
      <c r="B344" t="s">
        <v>16</v>
      </c>
      <c r="C344">
        <v>2019</v>
      </c>
      <c r="D344">
        <v>1537.24</v>
      </c>
      <c r="E344">
        <v>37</v>
      </c>
      <c r="F344">
        <v>619223.43000000005</v>
      </c>
      <c r="G344">
        <v>365.25</v>
      </c>
      <c r="H344" s="2">
        <f t="shared" ref="H344" si="55">SUM(E344:E349)</f>
        <v>274</v>
      </c>
    </row>
    <row r="345" spans="1:8" hidden="1" x14ac:dyDescent="0.25">
      <c r="A345">
        <v>2020</v>
      </c>
      <c r="B345" t="s">
        <v>16</v>
      </c>
      <c r="C345">
        <v>2020</v>
      </c>
      <c r="D345">
        <v>1398.15</v>
      </c>
      <c r="E345">
        <v>27</v>
      </c>
      <c r="F345">
        <v>602004.46</v>
      </c>
      <c r="G345">
        <v>365.39</v>
      </c>
      <c r="H345" s="2"/>
    </row>
    <row r="346" spans="1:8" hidden="1" x14ac:dyDescent="0.25">
      <c r="A346">
        <v>2020</v>
      </c>
      <c r="B346" t="s">
        <v>16</v>
      </c>
      <c r="C346">
        <v>2021</v>
      </c>
      <c r="D346">
        <v>1928.28</v>
      </c>
      <c r="E346">
        <v>50</v>
      </c>
      <c r="F346">
        <v>608432.78</v>
      </c>
      <c r="G346">
        <v>358.43</v>
      </c>
      <c r="H346" s="2"/>
    </row>
    <row r="347" spans="1:8" hidden="1" x14ac:dyDescent="0.25">
      <c r="A347">
        <v>2020</v>
      </c>
      <c r="B347" t="s">
        <v>16</v>
      </c>
      <c r="C347">
        <v>2022</v>
      </c>
      <c r="D347">
        <v>2711.33</v>
      </c>
      <c r="E347">
        <v>63</v>
      </c>
      <c r="F347">
        <v>577547.23</v>
      </c>
      <c r="G347">
        <v>350.74</v>
      </c>
      <c r="H347" s="2"/>
    </row>
    <row r="348" spans="1:8" hidden="1" x14ac:dyDescent="0.25">
      <c r="A348">
        <v>2020</v>
      </c>
      <c r="B348" t="s">
        <v>16</v>
      </c>
      <c r="C348">
        <v>2023</v>
      </c>
      <c r="D348">
        <v>1710.67</v>
      </c>
      <c r="E348">
        <v>35</v>
      </c>
      <c r="F348">
        <v>606073.28</v>
      </c>
      <c r="G348">
        <v>361.49</v>
      </c>
      <c r="H348" s="2"/>
    </row>
    <row r="349" spans="1:8" hidden="1" x14ac:dyDescent="0.25">
      <c r="A349">
        <v>2020</v>
      </c>
      <c r="B349" t="s">
        <v>16</v>
      </c>
      <c r="C349">
        <v>2024</v>
      </c>
      <c r="D349">
        <v>2954.43</v>
      </c>
      <c r="E349">
        <v>62</v>
      </c>
      <c r="F349">
        <v>613200.37</v>
      </c>
      <c r="G349">
        <v>361.72</v>
      </c>
      <c r="H349" s="2"/>
    </row>
    <row r="350" spans="1:8" hidden="1" x14ac:dyDescent="0.25">
      <c r="A350">
        <v>2020</v>
      </c>
      <c r="B350" t="s">
        <v>17</v>
      </c>
      <c r="C350">
        <v>2019</v>
      </c>
      <c r="D350">
        <v>1589.26</v>
      </c>
      <c r="E350">
        <v>37</v>
      </c>
      <c r="F350">
        <v>619762.15</v>
      </c>
      <c r="G350">
        <v>382.28</v>
      </c>
      <c r="H350" s="2">
        <f t="shared" ref="H350" si="56">SUM(E350:E355)</f>
        <v>256</v>
      </c>
    </row>
    <row r="351" spans="1:8" hidden="1" x14ac:dyDescent="0.25">
      <c r="A351">
        <v>2020</v>
      </c>
      <c r="B351" t="s">
        <v>17</v>
      </c>
      <c r="C351">
        <v>2020</v>
      </c>
      <c r="D351">
        <v>1414.52</v>
      </c>
      <c r="E351">
        <v>27</v>
      </c>
      <c r="F351">
        <v>602931.43000000005</v>
      </c>
      <c r="G351">
        <v>381.87</v>
      </c>
      <c r="H351" s="2"/>
    </row>
    <row r="352" spans="1:8" hidden="1" x14ac:dyDescent="0.25">
      <c r="A352">
        <v>2020</v>
      </c>
      <c r="B352" t="s">
        <v>17</v>
      </c>
      <c r="C352">
        <v>2021</v>
      </c>
      <c r="D352">
        <v>1696.12</v>
      </c>
      <c r="E352">
        <v>49</v>
      </c>
      <c r="F352">
        <v>609104.54</v>
      </c>
      <c r="G352">
        <v>374.6</v>
      </c>
      <c r="H352" s="2"/>
    </row>
    <row r="353" spans="1:8" hidden="1" x14ac:dyDescent="0.25">
      <c r="A353">
        <v>2020</v>
      </c>
      <c r="B353" t="s">
        <v>17</v>
      </c>
      <c r="C353">
        <v>2022</v>
      </c>
      <c r="D353">
        <v>2605.46</v>
      </c>
      <c r="E353">
        <v>57</v>
      </c>
      <c r="F353">
        <v>579475.05000000005</v>
      </c>
      <c r="G353">
        <v>368.51</v>
      </c>
      <c r="H353" s="2"/>
    </row>
    <row r="354" spans="1:8" hidden="1" x14ac:dyDescent="0.25">
      <c r="A354">
        <v>2020</v>
      </c>
      <c r="B354" t="s">
        <v>17</v>
      </c>
      <c r="C354">
        <v>2023</v>
      </c>
      <c r="D354">
        <v>1471.65</v>
      </c>
      <c r="E354">
        <v>30</v>
      </c>
      <c r="F354">
        <v>605677.18999999994</v>
      </c>
      <c r="G354">
        <v>378.73</v>
      </c>
      <c r="H354" s="2"/>
    </row>
    <row r="355" spans="1:8" hidden="1" x14ac:dyDescent="0.25">
      <c r="A355">
        <v>2020</v>
      </c>
      <c r="B355" t="s">
        <v>17</v>
      </c>
      <c r="C355">
        <v>2024</v>
      </c>
      <c r="D355">
        <v>2755.85</v>
      </c>
      <c r="E355">
        <v>56</v>
      </c>
      <c r="F355">
        <v>613057.98</v>
      </c>
      <c r="G355">
        <v>378.67</v>
      </c>
      <c r="H355" s="2"/>
    </row>
    <row r="356" spans="1:8" hidden="1" x14ac:dyDescent="0.25">
      <c r="A356">
        <v>2020</v>
      </c>
      <c r="B356" t="s">
        <v>18</v>
      </c>
      <c r="C356">
        <v>2019</v>
      </c>
      <c r="D356">
        <v>449.28</v>
      </c>
      <c r="E356">
        <v>14</v>
      </c>
      <c r="F356">
        <v>662173.94999999995</v>
      </c>
      <c r="G356">
        <v>341.98</v>
      </c>
      <c r="H356" s="2">
        <f t="shared" ref="H356" si="57">SUM(E356:E361)</f>
        <v>86</v>
      </c>
    </row>
    <row r="357" spans="1:8" hidden="1" x14ac:dyDescent="0.25">
      <c r="A357">
        <v>2020</v>
      </c>
      <c r="B357" t="s">
        <v>18</v>
      </c>
      <c r="C357">
        <v>2020</v>
      </c>
      <c r="D357">
        <v>65.44</v>
      </c>
      <c r="E357">
        <v>7</v>
      </c>
      <c r="F357">
        <v>641444.51</v>
      </c>
      <c r="G357">
        <v>341.89</v>
      </c>
      <c r="H357" s="2"/>
    </row>
    <row r="358" spans="1:8" hidden="1" x14ac:dyDescent="0.25">
      <c r="A358">
        <v>2020</v>
      </c>
      <c r="B358" t="s">
        <v>18</v>
      </c>
      <c r="C358">
        <v>2021</v>
      </c>
      <c r="D358">
        <v>1027.6600000000001</v>
      </c>
      <c r="E358">
        <v>19</v>
      </c>
      <c r="F358">
        <v>634842.37</v>
      </c>
      <c r="G358">
        <v>339.88</v>
      </c>
      <c r="H358" s="2"/>
    </row>
    <row r="359" spans="1:8" hidden="1" x14ac:dyDescent="0.25">
      <c r="A359">
        <v>2020</v>
      </c>
      <c r="B359" t="s">
        <v>18</v>
      </c>
      <c r="C359">
        <v>2022</v>
      </c>
      <c r="D359">
        <v>1650.89</v>
      </c>
      <c r="E359">
        <v>27</v>
      </c>
      <c r="F359">
        <v>636419.22</v>
      </c>
      <c r="G359">
        <v>338.36</v>
      </c>
      <c r="H359" s="2"/>
    </row>
    <row r="360" spans="1:8" hidden="1" x14ac:dyDescent="0.25">
      <c r="A360">
        <v>2020</v>
      </c>
      <c r="B360" t="s">
        <v>18</v>
      </c>
      <c r="C360">
        <v>2023</v>
      </c>
      <c r="D360">
        <v>169.04</v>
      </c>
      <c r="E360">
        <v>6</v>
      </c>
      <c r="F360">
        <v>639385.64</v>
      </c>
      <c r="G360">
        <v>341.81</v>
      </c>
      <c r="H360" s="2"/>
    </row>
    <row r="361" spans="1:8" hidden="1" x14ac:dyDescent="0.25">
      <c r="A361">
        <v>2020</v>
      </c>
      <c r="B361" t="s">
        <v>18</v>
      </c>
      <c r="C361">
        <v>2024</v>
      </c>
      <c r="D361">
        <v>398.21</v>
      </c>
      <c r="E361">
        <v>13</v>
      </c>
      <c r="F361">
        <v>617737.98</v>
      </c>
      <c r="G361">
        <v>335.63</v>
      </c>
      <c r="H361" s="2"/>
    </row>
    <row r="362" spans="1:8" hidden="1" x14ac:dyDescent="0.25">
      <c r="A362">
        <v>2020</v>
      </c>
      <c r="B362" t="s">
        <v>19</v>
      </c>
      <c r="C362">
        <v>2019</v>
      </c>
      <c r="D362">
        <v>719.55</v>
      </c>
      <c r="E362">
        <v>12</v>
      </c>
      <c r="F362">
        <v>555527.52</v>
      </c>
      <c r="G362">
        <v>423.42</v>
      </c>
      <c r="H362" s="2">
        <f t="shared" ref="H362" si="58">SUM(E362:E367)</f>
        <v>129</v>
      </c>
    </row>
    <row r="363" spans="1:8" hidden="1" x14ac:dyDescent="0.25">
      <c r="A363">
        <v>2020</v>
      </c>
      <c r="B363" t="s">
        <v>19</v>
      </c>
      <c r="C363">
        <v>2020</v>
      </c>
      <c r="D363">
        <v>461.13</v>
      </c>
      <c r="E363">
        <v>8</v>
      </c>
      <c r="F363">
        <v>536563.89</v>
      </c>
      <c r="G363">
        <v>421.2</v>
      </c>
      <c r="H363" s="2"/>
    </row>
    <row r="364" spans="1:8" hidden="1" x14ac:dyDescent="0.25">
      <c r="A364">
        <v>2020</v>
      </c>
      <c r="B364" t="s">
        <v>19</v>
      </c>
      <c r="C364">
        <v>2021</v>
      </c>
      <c r="D364">
        <v>902.26</v>
      </c>
      <c r="E364">
        <v>19</v>
      </c>
      <c r="F364">
        <v>534226.15</v>
      </c>
      <c r="G364">
        <v>418.26</v>
      </c>
      <c r="H364" s="2"/>
    </row>
    <row r="365" spans="1:8" hidden="1" x14ac:dyDescent="0.25">
      <c r="A365">
        <v>2020</v>
      </c>
      <c r="B365" t="s">
        <v>19</v>
      </c>
      <c r="C365">
        <v>2022</v>
      </c>
      <c r="D365">
        <v>2396.7800000000002</v>
      </c>
      <c r="E365">
        <v>44</v>
      </c>
      <c r="F365">
        <v>523078.92</v>
      </c>
      <c r="G365">
        <v>410.17</v>
      </c>
      <c r="H365" s="2"/>
    </row>
    <row r="366" spans="1:8" hidden="1" x14ac:dyDescent="0.25">
      <c r="A366">
        <v>2020</v>
      </c>
      <c r="B366" t="s">
        <v>19</v>
      </c>
      <c r="C366">
        <v>2023</v>
      </c>
      <c r="D366">
        <v>567.34</v>
      </c>
      <c r="E366">
        <v>11</v>
      </c>
      <c r="F366">
        <v>540784.82999999996</v>
      </c>
      <c r="G366">
        <v>424.97</v>
      </c>
      <c r="H366" s="2"/>
    </row>
    <row r="367" spans="1:8" hidden="1" x14ac:dyDescent="0.25">
      <c r="A367">
        <v>2020</v>
      </c>
      <c r="B367" t="s">
        <v>19</v>
      </c>
      <c r="C367">
        <v>2024</v>
      </c>
      <c r="D367">
        <v>1553.1</v>
      </c>
      <c r="E367">
        <v>35</v>
      </c>
      <c r="F367">
        <v>513717.25</v>
      </c>
      <c r="G367">
        <v>407.29</v>
      </c>
      <c r="H367" s="2"/>
    </row>
    <row r="368" spans="1:8" hidden="1" x14ac:dyDescent="0.25">
      <c r="A368">
        <v>2020</v>
      </c>
      <c r="B368" t="s">
        <v>20</v>
      </c>
      <c r="C368">
        <v>2019</v>
      </c>
      <c r="D368">
        <v>539.16999999999996</v>
      </c>
      <c r="E368">
        <v>16</v>
      </c>
      <c r="F368">
        <v>717401.74</v>
      </c>
      <c r="G368">
        <v>257.02</v>
      </c>
      <c r="H368" s="2">
        <f t="shared" ref="H368" si="59">SUM(E368:E373)</f>
        <v>92</v>
      </c>
    </row>
    <row r="369" spans="1:8" hidden="1" x14ac:dyDescent="0.25">
      <c r="A369">
        <v>2020</v>
      </c>
      <c r="B369" t="s">
        <v>20</v>
      </c>
      <c r="C369">
        <v>2020</v>
      </c>
      <c r="D369">
        <v>179.58</v>
      </c>
      <c r="E369">
        <v>8</v>
      </c>
      <c r="F369">
        <v>705006.31</v>
      </c>
      <c r="G369">
        <v>256.95</v>
      </c>
      <c r="H369" s="2"/>
    </row>
    <row r="370" spans="1:8" hidden="1" x14ac:dyDescent="0.25">
      <c r="A370">
        <v>2020</v>
      </c>
      <c r="B370" t="s">
        <v>20</v>
      </c>
      <c r="C370">
        <v>2021</v>
      </c>
      <c r="D370">
        <v>991.85</v>
      </c>
      <c r="E370">
        <v>36</v>
      </c>
      <c r="F370">
        <v>672106.89</v>
      </c>
      <c r="G370">
        <v>250.96</v>
      </c>
      <c r="H370" s="2"/>
    </row>
    <row r="371" spans="1:8" hidden="1" x14ac:dyDescent="0.25">
      <c r="A371">
        <v>2020</v>
      </c>
      <c r="B371" t="s">
        <v>20</v>
      </c>
      <c r="C371">
        <v>2022</v>
      </c>
      <c r="D371">
        <v>131</v>
      </c>
      <c r="E371">
        <v>13</v>
      </c>
      <c r="F371">
        <v>672799.59</v>
      </c>
      <c r="G371">
        <v>256.52</v>
      </c>
      <c r="H371" s="2"/>
    </row>
    <row r="372" spans="1:8" hidden="1" x14ac:dyDescent="0.25">
      <c r="A372">
        <v>2020</v>
      </c>
      <c r="B372" t="s">
        <v>20</v>
      </c>
      <c r="C372">
        <v>2023</v>
      </c>
      <c r="D372">
        <v>45.48</v>
      </c>
      <c r="E372">
        <v>7</v>
      </c>
      <c r="F372">
        <v>697387.02</v>
      </c>
      <c r="G372">
        <v>257.33999999999997</v>
      </c>
      <c r="H372" s="2"/>
    </row>
    <row r="373" spans="1:8" hidden="1" x14ac:dyDescent="0.25">
      <c r="A373">
        <v>2020</v>
      </c>
      <c r="B373" t="s">
        <v>20</v>
      </c>
      <c r="C373">
        <v>2024</v>
      </c>
      <c r="D373">
        <v>147.19</v>
      </c>
      <c r="E373">
        <v>12</v>
      </c>
      <c r="F373">
        <v>685339.68</v>
      </c>
      <c r="G373">
        <v>257.48</v>
      </c>
      <c r="H373" s="2"/>
    </row>
    <row r="374" spans="1:8" hidden="1" x14ac:dyDescent="0.25">
      <c r="A374">
        <v>2020</v>
      </c>
      <c r="B374" t="s">
        <v>21</v>
      </c>
      <c r="C374">
        <v>2019</v>
      </c>
      <c r="D374">
        <v>818.13</v>
      </c>
      <c r="E374">
        <v>31</v>
      </c>
      <c r="F374">
        <v>672318.42</v>
      </c>
      <c r="G374">
        <v>271.51</v>
      </c>
      <c r="H374" s="2">
        <f t="shared" ref="H374" si="60">SUM(E374:E379)</f>
        <v>106</v>
      </c>
    </row>
    <row r="375" spans="1:8" hidden="1" x14ac:dyDescent="0.25">
      <c r="A375">
        <v>2020</v>
      </c>
      <c r="B375" t="s">
        <v>21</v>
      </c>
      <c r="C375">
        <v>2020</v>
      </c>
      <c r="D375">
        <v>201.09</v>
      </c>
      <c r="E375">
        <v>10</v>
      </c>
      <c r="F375">
        <v>663067.5</v>
      </c>
      <c r="G375">
        <v>274.08999999999997</v>
      </c>
      <c r="H375" s="2"/>
    </row>
    <row r="376" spans="1:8" hidden="1" x14ac:dyDescent="0.25">
      <c r="A376">
        <v>2020</v>
      </c>
      <c r="B376" t="s">
        <v>21</v>
      </c>
      <c r="C376">
        <v>2021</v>
      </c>
      <c r="D376">
        <v>745.43</v>
      </c>
      <c r="E376">
        <v>26</v>
      </c>
      <c r="F376">
        <v>637687.78</v>
      </c>
      <c r="G376">
        <v>266.83999999999997</v>
      </c>
      <c r="H376" s="2"/>
    </row>
    <row r="377" spans="1:8" hidden="1" x14ac:dyDescent="0.25">
      <c r="A377">
        <v>2020</v>
      </c>
      <c r="B377" t="s">
        <v>21</v>
      </c>
      <c r="C377">
        <v>2022</v>
      </c>
      <c r="D377">
        <v>470.97</v>
      </c>
      <c r="E377">
        <v>22</v>
      </c>
      <c r="F377">
        <v>640265.69999999995</v>
      </c>
      <c r="G377">
        <v>271.3</v>
      </c>
      <c r="H377" s="2"/>
    </row>
    <row r="378" spans="1:8" hidden="1" x14ac:dyDescent="0.25">
      <c r="A378">
        <v>2020</v>
      </c>
      <c r="B378" t="s">
        <v>21</v>
      </c>
      <c r="C378">
        <v>2023</v>
      </c>
      <c r="D378">
        <v>95.19</v>
      </c>
      <c r="E378">
        <v>9</v>
      </c>
      <c r="F378">
        <v>652662.86</v>
      </c>
      <c r="G378">
        <v>271.06</v>
      </c>
      <c r="H378" s="2"/>
    </row>
    <row r="379" spans="1:8" hidden="1" x14ac:dyDescent="0.25">
      <c r="A379">
        <v>2020</v>
      </c>
      <c r="B379" t="s">
        <v>21</v>
      </c>
      <c r="C379">
        <v>2024</v>
      </c>
      <c r="D379">
        <v>207.29</v>
      </c>
      <c r="E379">
        <v>8</v>
      </c>
      <c r="F379">
        <v>645263.34</v>
      </c>
      <c r="G379">
        <v>273.95</v>
      </c>
      <c r="H379" s="2"/>
    </row>
    <row r="380" spans="1:8" hidden="1" x14ac:dyDescent="0.25">
      <c r="A380">
        <v>2020</v>
      </c>
      <c r="B380" t="s">
        <v>22</v>
      </c>
      <c r="C380">
        <v>2019</v>
      </c>
      <c r="D380">
        <v>66.33</v>
      </c>
      <c r="E380">
        <v>2</v>
      </c>
      <c r="F380">
        <v>920660.21</v>
      </c>
      <c r="G380">
        <v>484.06</v>
      </c>
      <c r="H380" s="2">
        <f t="shared" ref="H380" si="61">SUM(E380:E385)</f>
        <v>77</v>
      </c>
    </row>
    <row r="381" spans="1:8" hidden="1" x14ac:dyDescent="0.25">
      <c r="A381">
        <v>2020</v>
      </c>
      <c r="B381" t="s">
        <v>22</v>
      </c>
      <c r="C381">
        <v>2020</v>
      </c>
      <c r="D381">
        <v>506.82</v>
      </c>
      <c r="E381">
        <v>12</v>
      </c>
      <c r="F381">
        <v>847674.52</v>
      </c>
      <c r="G381">
        <v>470.72</v>
      </c>
      <c r="H381" s="2"/>
    </row>
    <row r="382" spans="1:8" hidden="1" x14ac:dyDescent="0.25">
      <c r="A382">
        <v>2020</v>
      </c>
      <c r="B382" t="s">
        <v>22</v>
      </c>
      <c r="C382">
        <v>2021</v>
      </c>
      <c r="D382">
        <v>1369.71</v>
      </c>
      <c r="E382">
        <v>30</v>
      </c>
      <c r="F382">
        <v>881434.49</v>
      </c>
      <c r="G382">
        <v>468.26</v>
      </c>
      <c r="H382" s="2"/>
    </row>
    <row r="383" spans="1:8" hidden="1" x14ac:dyDescent="0.25">
      <c r="A383">
        <v>2020</v>
      </c>
      <c r="B383" t="s">
        <v>22</v>
      </c>
      <c r="C383">
        <v>2022</v>
      </c>
      <c r="D383">
        <v>952.18</v>
      </c>
      <c r="E383">
        <v>18</v>
      </c>
      <c r="F383">
        <v>834281.81</v>
      </c>
      <c r="G383">
        <v>471.25</v>
      </c>
      <c r="H383" s="2"/>
    </row>
    <row r="384" spans="1:8" hidden="1" x14ac:dyDescent="0.25">
      <c r="A384">
        <v>2020</v>
      </c>
      <c r="B384" t="s">
        <v>22</v>
      </c>
      <c r="C384">
        <v>2023</v>
      </c>
      <c r="D384">
        <v>391.72</v>
      </c>
      <c r="E384">
        <v>11</v>
      </c>
      <c r="F384">
        <v>892058.04</v>
      </c>
      <c r="G384">
        <v>480.49</v>
      </c>
      <c r="H384" s="2"/>
    </row>
    <row r="385" spans="1:8" hidden="1" x14ac:dyDescent="0.25">
      <c r="A385">
        <v>2020</v>
      </c>
      <c r="B385" t="s">
        <v>22</v>
      </c>
      <c r="C385">
        <v>2024</v>
      </c>
      <c r="D385">
        <v>188.06</v>
      </c>
      <c r="E385">
        <v>4</v>
      </c>
      <c r="F385">
        <v>889931.96</v>
      </c>
      <c r="G385">
        <v>478.25</v>
      </c>
      <c r="H385" s="2"/>
    </row>
    <row r="386" spans="1:8" hidden="1" x14ac:dyDescent="0.25">
      <c r="A386">
        <v>2020</v>
      </c>
      <c r="B386" t="s">
        <v>23</v>
      </c>
      <c r="C386">
        <v>2019</v>
      </c>
      <c r="D386">
        <v>50.21</v>
      </c>
      <c r="E386">
        <v>3</v>
      </c>
      <c r="F386">
        <v>748967.4</v>
      </c>
      <c r="G386">
        <v>251.31</v>
      </c>
      <c r="H386" s="2">
        <f t="shared" ref="H386" si="62">SUM(E386:E391)</f>
        <v>60</v>
      </c>
    </row>
    <row r="387" spans="1:8" hidden="1" x14ac:dyDescent="0.25">
      <c r="A387">
        <v>2020</v>
      </c>
      <c r="B387" t="s">
        <v>23</v>
      </c>
      <c r="C387">
        <v>2020</v>
      </c>
      <c r="D387">
        <v>156.58000000000001</v>
      </c>
      <c r="E387">
        <v>11</v>
      </c>
      <c r="F387">
        <v>734089.47</v>
      </c>
      <c r="G387">
        <v>248.96</v>
      </c>
      <c r="H387" s="2"/>
    </row>
    <row r="388" spans="1:8" hidden="1" x14ac:dyDescent="0.25">
      <c r="A388">
        <v>2020</v>
      </c>
      <c r="B388" t="s">
        <v>23</v>
      </c>
      <c r="C388">
        <v>2021</v>
      </c>
      <c r="D388">
        <v>68.22</v>
      </c>
      <c r="E388">
        <v>8</v>
      </c>
      <c r="F388">
        <v>705908.86</v>
      </c>
      <c r="G388">
        <v>249.57</v>
      </c>
      <c r="H388" s="2"/>
    </row>
    <row r="389" spans="1:8" hidden="1" x14ac:dyDescent="0.25">
      <c r="A389">
        <v>2020</v>
      </c>
      <c r="B389" t="s">
        <v>23</v>
      </c>
      <c r="C389">
        <v>2022</v>
      </c>
      <c r="D389">
        <v>620.67999999999995</v>
      </c>
      <c r="E389">
        <v>21</v>
      </c>
      <c r="F389">
        <v>705836.58</v>
      </c>
      <c r="G389">
        <v>247.64</v>
      </c>
      <c r="H389" s="2"/>
    </row>
    <row r="390" spans="1:8" hidden="1" x14ac:dyDescent="0.25">
      <c r="A390">
        <v>2020</v>
      </c>
      <c r="B390" t="s">
        <v>23</v>
      </c>
      <c r="C390">
        <v>2023</v>
      </c>
      <c r="D390">
        <v>98.87</v>
      </c>
      <c r="E390">
        <v>7</v>
      </c>
      <c r="F390">
        <v>725385.73</v>
      </c>
      <c r="G390">
        <v>249.21</v>
      </c>
      <c r="H390" s="2"/>
    </row>
    <row r="391" spans="1:8" hidden="1" x14ac:dyDescent="0.25">
      <c r="A391">
        <v>2020</v>
      </c>
      <c r="B391" t="s">
        <v>23</v>
      </c>
      <c r="C391">
        <v>2024</v>
      </c>
      <c r="D391">
        <v>148.72</v>
      </c>
      <c r="E391">
        <v>10</v>
      </c>
      <c r="F391">
        <v>715155.78</v>
      </c>
      <c r="G391">
        <v>248.81</v>
      </c>
      <c r="H391" s="2"/>
    </row>
    <row r="392" spans="1:8" hidden="1" x14ac:dyDescent="0.25">
      <c r="A392">
        <v>2020</v>
      </c>
      <c r="B392" t="s">
        <v>24</v>
      </c>
      <c r="C392">
        <v>2019</v>
      </c>
      <c r="D392">
        <v>1201.78</v>
      </c>
      <c r="E392">
        <v>23</v>
      </c>
      <c r="F392">
        <v>574564.34</v>
      </c>
      <c r="G392">
        <v>361.76</v>
      </c>
      <c r="H392" s="2">
        <f t="shared" ref="H392" si="63">SUM(E392:E397)</f>
        <v>146</v>
      </c>
    </row>
    <row r="393" spans="1:8" hidden="1" x14ac:dyDescent="0.25">
      <c r="A393">
        <v>2020</v>
      </c>
      <c r="B393" t="s">
        <v>24</v>
      </c>
      <c r="C393">
        <v>2020</v>
      </c>
      <c r="D393">
        <v>244.34</v>
      </c>
      <c r="E393">
        <v>5</v>
      </c>
      <c r="F393">
        <v>558569.52</v>
      </c>
      <c r="G393">
        <v>361.31</v>
      </c>
      <c r="H393" s="2"/>
    </row>
    <row r="394" spans="1:8" hidden="1" x14ac:dyDescent="0.25">
      <c r="A394">
        <v>2020</v>
      </c>
      <c r="B394" t="s">
        <v>24</v>
      </c>
      <c r="C394">
        <v>2021</v>
      </c>
      <c r="D394">
        <v>996.52</v>
      </c>
      <c r="E394">
        <v>19</v>
      </c>
      <c r="F394">
        <v>555372.37</v>
      </c>
      <c r="G394">
        <v>360.38</v>
      </c>
      <c r="H394" s="2"/>
    </row>
    <row r="395" spans="1:8" hidden="1" x14ac:dyDescent="0.25">
      <c r="A395">
        <v>2020</v>
      </c>
      <c r="B395" t="s">
        <v>24</v>
      </c>
      <c r="C395">
        <v>2022</v>
      </c>
      <c r="D395">
        <v>2293.39</v>
      </c>
      <c r="E395">
        <v>39</v>
      </c>
      <c r="F395">
        <v>551020.96</v>
      </c>
      <c r="G395">
        <v>360.57</v>
      </c>
      <c r="H395" s="2"/>
    </row>
    <row r="396" spans="1:8" hidden="1" x14ac:dyDescent="0.25">
      <c r="A396">
        <v>2020</v>
      </c>
      <c r="B396" t="s">
        <v>24</v>
      </c>
      <c r="C396">
        <v>2023</v>
      </c>
      <c r="D396">
        <v>663.58</v>
      </c>
      <c r="E396">
        <v>16</v>
      </c>
      <c r="F396">
        <v>556663.73</v>
      </c>
      <c r="G396">
        <v>364.88</v>
      </c>
      <c r="H396" s="2"/>
    </row>
    <row r="397" spans="1:8" hidden="1" x14ac:dyDescent="0.25">
      <c r="A397">
        <v>2020</v>
      </c>
      <c r="B397" t="s">
        <v>24</v>
      </c>
      <c r="C397">
        <v>2024</v>
      </c>
      <c r="D397">
        <v>2348.39</v>
      </c>
      <c r="E397">
        <v>44</v>
      </c>
      <c r="F397">
        <v>530027.38</v>
      </c>
      <c r="G397">
        <v>350.45</v>
      </c>
      <c r="H397" s="2"/>
    </row>
    <row r="398" spans="1:8" hidden="1" x14ac:dyDescent="0.25">
      <c r="A398">
        <v>2020</v>
      </c>
      <c r="B398" t="s">
        <v>25</v>
      </c>
      <c r="C398">
        <v>2019</v>
      </c>
      <c r="D398">
        <v>85.53</v>
      </c>
      <c r="E398">
        <v>5</v>
      </c>
      <c r="F398">
        <v>608908.34</v>
      </c>
      <c r="G398">
        <v>324.87</v>
      </c>
      <c r="H398" s="2">
        <f t="shared" ref="H398" si="64">SUM(E398:E403)</f>
        <v>55</v>
      </c>
    </row>
    <row r="399" spans="1:8" hidden="1" x14ac:dyDescent="0.25">
      <c r="A399">
        <v>2020</v>
      </c>
      <c r="B399" t="s">
        <v>25</v>
      </c>
      <c r="C399">
        <v>2020</v>
      </c>
      <c r="D399">
        <v>146.26</v>
      </c>
      <c r="E399">
        <v>6</v>
      </c>
      <c r="F399">
        <v>601433.25</v>
      </c>
      <c r="G399">
        <v>323.95</v>
      </c>
      <c r="H399" s="2"/>
    </row>
    <row r="400" spans="1:8" hidden="1" x14ac:dyDescent="0.25">
      <c r="A400">
        <v>2020</v>
      </c>
      <c r="B400" t="s">
        <v>25</v>
      </c>
      <c r="C400">
        <v>2021</v>
      </c>
      <c r="D400">
        <v>473.29</v>
      </c>
      <c r="E400">
        <v>12</v>
      </c>
      <c r="F400">
        <v>576725.66</v>
      </c>
      <c r="G400">
        <v>318.94</v>
      </c>
      <c r="H400" s="2"/>
    </row>
    <row r="401" spans="1:8" hidden="1" x14ac:dyDescent="0.25">
      <c r="A401">
        <v>2020</v>
      </c>
      <c r="B401" t="s">
        <v>25</v>
      </c>
      <c r="C401">
        <v>2022</v>
      </c>
      <c r="D401">
        <v>829.63</v>
      </c>
      <c r="E401">
        <v>17</v>
      </c>
      <c r="F401">
        <v>578825.82999999996</v>
      </c>
      <c r="G401">
        <v>320.8</v>
      </c>
      <c r="H401" s="2"/>
    </row>
    <row r="402" spans="1:8" hidden="1" x14ac:dyDescent="0.25">
      <c r="A402">
        <v>2020</v>
      </c>
      <c r="B402" t="s">
        <v>25</v>
      </c>
      <c r="C402">
        <v>2023</v>
      </c>
      <c r="D402">
        <v>131.66999999999999</v>
      </c>
      <c r="E402">
        <v>5</v>
      </c>
      <c r="F402">
        <v>598563.14</v>
      </c>
      <c r="G402">
        <v>323.01</v>
      </c>
      <c r="H402" s="2"/>
    </row>
    <row r="403" spans="1:8" hidden="1" x14ac:dyDescent="0.25">
      <c r="A403">
        <v>2020</v>
      </c>
      <c r="B403" t="s">
        <v>25</v>
      </c>
      <c r="C403">
        <v>2024</v>
      </c>
      <c r="D403">
        <v>382.94</v>
      </c>
      <c r="E403">
        <v>10</v>
      </c>
      <c r="F403">
        <v>590169.51</v>
      </c>
      <c r="G403">
        <v>323.52999999999997</v>
      </c>
      <c r="H403" s="2"/>
    </row>
    <row r="404" spans="1:8" hidden="1" x14ac:dyDescent="0.25">
      <c r="A404">
        <v>2020</v>
      </c>
      <c r="B404" t="s">
        <v>26</v>
      </c>
      <c r="C404">
        <v>2019</v>
      </c>
      <c r="D404">
        <v>170.06</v>
      </c>
      <c r="E404">
        <v>5</v>
      </c>
      <c r="F404">
        <v>608400.66</v>
      </c>
      <c r="G404">
        <v>299.08</v>
      </c>
      <c r="H404" s="2">
        <f t="shared" ref="H404" si="65">SUM(E404:E409)</f>
        <v>69</v>
      </c>
    </row>
    <row r="405" spans="1:8" hidden="1" x14ac:dyDescent="0.25">
      <c r="A405">
        <v>2020</v>
      </c>
      <c r="B405" t="s">
        <v>26</v>
      </c>
      <c r="C405">
        <v>2020</v>
      </c>
      <c r="D405">
        <v>74.42</v>
      </c>
      <c r="E405">
        <v>5</v>
      </c>
      <c r="F405">
        <v>598626.21</v>
      </c>
      <c r="G405">
        <v>295.81</v>
      </c>
      <c r="H405" s="2"/>
    </row>
    <row r="406" spans="1:8" hidden="1" x14ac:dyDescent="0.25">
      <c r="A406">
        <v>2020</v>
      </c>
      <c r="B406" t="s">
        <v>26</v>
      </c>
      <c r="C406">
        <v>2021</v>
      </c>
      <c r="D406">
        <v>881.91</v>
      </c>
      <c r="E406">
        <v>23</v>
      </c>
      <c r="F406">
        <v>580432.44999999995</v>
      </c>
      <c r="G406">
        <v>291.19</v>
      </c>
      <c r="H406" s="2"/>
    </row>
    <row r="407" spans="1:8" hidden="1" x14ac:dyDescent="0.25">
      <c r="A407">
        <v>2020</v>
      </c>
      <c r="B407" t="s">
        <v>26</v>
      </c>
      <c r="C407">
        <v>2022</v>
      </c>
      <c r="D407">
        <v>776.89</v>
      </c>
      <c r="E407">
        <v>18</v>
      </c>
      <c r="F407">
        <v>579924.97</v>
      </c>
      <c r="G407">
        <v>294.05</v>
      </c>
      <c r="H407" s="2"/>
    </row>
    <row r="408" spans="1:8" hidden="1" x14ac:dyDescent="0.25">
      <c r="A408">
        <v>2020</v>
      </c>
      <c r="B408" t="s">
        <v>26</v>
      </c>
      <c r="C408">
        <v>2023</v>
      </c>
      <c r="D408">
        <v>470.5</v>
      </c>
      <c r="E408">
        <v>14</v>
      </c>
      <c r="F408">
        <v>590516.62</v>
      </c>
      <c r="G408">
        <v>295.82</v>
      </c>
      <c r="H408" s="2"/>
    </row>
    <row r="409" spans="1:8" hidden="1" x14ac:dyDescent="0.25">
      <c r="A409">
        <v>2020</v>
      </c>
      <c r="B409" t="s">
        <v>26</v>
      </c>
      <c r="C409">
        <v>2024</v>
      </c>
      <c r="D409">
        <v>227.86</v>
      </c>
      <c r="E409">
        <v>4</v>
      </c>
      <c r="F409">
        <v>584065.98</v>
      </c>
      <c r="G409">
        <v>296.02</v>
      </c>
      <c r="H409" s="2"/>
    </row>
    <row r="410" spans="1:8" hidden="1" x14ac:dyDescent="0.25">
      <c r="A410">
        <v>2020</v>
      </c>
      <c r="B410" t="s">
        <v>27</v>
      </c>
      <c r="C410">
        <v>2019</v>
      </c>
      <c r="D410">
        <v>61.29</v>
      </c>
      <c r="E410">
        <v>4</v>
      </c>
      <c r="F410">
        <v>583192.89</v>
      </c>
      <c r="G410">
        <v>319.35000000000002</v>
      </c>
      <c r="H410" s="2">
        <f t="shared" ref="H410" si="66">SUM(E410:E415)</f>
        <v>145</v>
      </c>
    </row>
    <row r="411" spans="1:8" hidden="1" x14ac:dyDescent="0.25">
      <c r="A411">
        <v>2020</v>
      </c>
      <c r="B411" t="s">
        <v>27</v>
      </c>
      <c r="C411">
        <v>2020</v>
      </c>
      <c r="D411">
        <v>649.84</v>
      </c>
      <c r="E411">
        <v>18</v>
      </c>
      <c r="F411">
        <v>571969.85</v>
      </c>
      <c r="G411">
        <v>314.08</v>
      </c>
      <c r="H411" s="2"/>
    </row>
    <row r="412" spans="1:8" hidden="1" x14ac:dyDescent="0.25">
      <c r="A412">
        <v>2020</v>
      </c>
      <c r="B412" t="s">
        <v>27</v>
      </c>
      <c r="C412">
        <v>2021</v>
      </c>
      <c r="D412">
        <v>1158.68</v>
      </c>
      <c r="E412">
        <v>21</v>
      </c>
      <c r="F412">
        <v>567028.01</v>
      </c>
      <c r="G412">
        <v>314.47000000000003</v>
      </c>
      <c r="H412" s="2"/>
    </row>
    <row r="413" spans="1:8" hidden="1" x14ac:dyDescent="0.25">
      <c r="A413">
        <v>2020</v>
      </c>
      <c r="B413" t="s">
        <v>27</v>
      </c>
      <c r="C413">
        <v>2022</v>
      </c>
      <c r="D413">
        <v>2728.1</v>
      </c>
      <c r="E413">
        <v>57</v>
      </c>
      <c r="F413">
        <v>553313.14</v>
      </c>
      <c r="G413">
        <v>308.58999999999997</v>
      </c>
      <c r="H413" s="2"/>
    </row>
    <row r="414" spans="1:8" hidden="1" x14ac:dyDescent="0.25">
      <c r="A414">
        <v>2020</v>
      </c>
      <c r="B414" t="s">
        <v>27</v>
      </c>
      <c r="C414">
        <v>2023</v>
      </c>
      <c r="D414">
        <v>385.97</v>
      </c>
      <c r="E414">
        <v>11</v>
      </c>
      <c r="F414">
        <v>569412.46</v>
      </c>
      <c r="G414">
        <v>315.27</v>
      </c>
      <c r="H414" s="2"/>
    </row>
    <row r="415" spans="1:8" hidden="1" x14ac:dyDescent="0.25">
      <c r="A415">
        <v>2020</v>
      </c>
      <c r="B415" t="s">
        <v>27</v>
      </c>
      <c r="C415">
        <v>2024</v>
      </c>
      <c r="D415">
        <v>1388.6</v>
      </c>
      <c r="E415">
        <v>34</v>
      </c>
      <c r="F415">
        <v>558569.6</v>
      </c>
      <c r="G415">
        <v>311.93</v>
      </c>
      <c r="H415" s="2"/>
    </row>
    <row r="416" spans="1:8" hidden="1" x14ac:dyDescent="0.25">
      <c r="A416">
        <v>2020</v>
      </c>
      <c r="B416" t="s">
        <v>28</v>
      </c>
      <c r="C416">
        <v>2019</v>
      </c>
      <c r="D416">
        <v>157.81</v>
      </c>
      <c r="E416">
        <v>5</v>
      </c>
      <c r="F416">
        <v>586817.43999999994</v>
      </c>
      <c r="G416">
        <v>291.44</v>
      </c>
      <c r="H416" s="2">
        <f t="shared" ref="H416" si="67">SUM(E416:E421)</f>
        <v>86</v>
      </c>
    </row>
    <row r="417" spans="1:8" hidden="1" x14ac:dyDescent="0.25">
      <c r="A417">
        <v>2020</v>
      </c>
      <c r="B417" t="s">
        <v>28</v>
      </c>
      <c r="C417">
        <v>2020</v>
      </c>
      <c r="D417">
        <v>142.76</v>
      </c>
      <c r="E417">
        <v>9</v>
      </c>
      <c r="F417">
        <v>577840.39</v>
      </c>
      <c r="G417">
        <v>288.56</v>
      </c>
      <c r="H417" s="2"/>
    </row>
    <row r="418" spans="1:8" hidden="1" x14ac:dyDescent="0.25">
      <c r="A418">
        <v>2020</v>
      </c>
      <c r="B418" t="s">
        <v>28</v>
      </c>
      <c r="C418">
        <v>2021</v>
      </c>
      <c r="D418">
        <v>1017.06</v>
      </c>
      <c r="E418">
        <v>31</v>
      </c>
      <c r="F418">
        <v>554913.56999999995</v>
      </c>
      <c r="G418">
        <v>284.08</v>
      </c>
      <c r="H418" s="2"/>
    </row>
    <row r="419" spans="1:8" hidden="1" x14ac:dyDescent="0.25">
      <c r="A419">
        <v>2020</v>
      </c>
      <c r="B419" t="s">
        <v>28</v>
      </c>
      <c r="C419">
        <v>2022</v>
      </c>
      <c r="D419">
        <v>894.11</v>
      </c>
      <c r="E419">
        <v>21</v>
      </c>
      <c r="F419">
        <v>557949.38</v>
      </c>
      <c r="G419">
        <v>287.93</v>
      </c>
      <c r="H419" s="2"/>
    </row>
    <row r="420" spans="1:8" hidden="1" x14ac:dyDescent="0.25">
      <c r="A420">
        <v>2020</v>
      </c>
      <c r="B420" t="s">
        <v>28</v>
      </c>
      <c r="C420">
        <v>2023</v>
      </c>
      <c r="D420">
        <v>112.28</v>
      </c>
      <c r="E420">
        <v>8</v>
      </c>
      <c r="F420">
        <v>577352.15</v>
      </c>
      <c r="G420">
        <v>289.25</v>
      </c>
      <c r="H420" s="2"/>
    </row>
    <row r="421" spans="1:8" hidden="1" x14ac:dyDescent="0.25">
      <c r="A421">
        <v>2020</v>
      </c>
      <c r="B421" t="s">
        <v>28</v>
      </c>
      <c r="C421">
        <v>2024</v>
      </c>
      <c r="D421">
        <v>448.99</v>
      </c>
      <c r="E421">
        <v>12</v>
      </c>
      <c r="F421">
        <v>566273.43999999994</v>
      </c>
      <c r="G421">
        <v>289.83</v>
      </c>
      <c r="H421" s="2"/>
    </row>
    <row r="422" spans="1:8" hidden="1" x14ac:dyDescent="0.25">
      <c r="A422">
        <v>2020</v>
      </c>
      <c r="B422" t="s">
        <v>29</v>
      </c>
      <c r="C422">
        <v>2019</v>
      </c>
      <c r="D422">
        <v>143.91</v>
      </c>
      <c r="E422">
        <v>2</v>
      </c>
      <c r="F422">
        <v>629272.12</v>
      </c>
      <c r="G422">
        <v>436.62</v>
      </c>
      <c r="H422" s="2">
        <f t="shared" ref="H422" si="68">SUM(E422:E427)</f>
        <v>71</v>
      </c>
    </row>
    <row r="423" spans="1:8" hidden="1" x14ac:dyDescent="0.25">
      <c r="A423">
        <v>2020</v>
      </c>
      <c r="B423" t="s">
        <v>29</v>
      </c>
      <c r="C423">
        <v>2020</v>
      </c>
      <c r="D423">
        <v>166.54</v>
      </c>
      <c r="E423">
        <v>5</v>
      </c>
      <c r="F423">
        <v>601413.91</v>
      </c>
      <c r="G423">
        <v>432.04</v>
      </c>
      <c r="H423" s="2"/>
    </row>
    <row r="424" spans="1:8" hidden="1" x14ac:dyDescent="0.25">
      <c r="A424">
        <v>2020</v>
      </c>
      <c r="B424" t="s">
        <v>29</v>
      </c>
      <c r="C424">
        <v>2021</v>
      </c>
      <c r="D424">
        <v>1131.83</v>
      </c>
      <c r="E424">
        <v>21</v>
      </c>
      <c r="F424">
        <v>592058.82999999996</v>
      </c>
      <c r="G424">
        <v>429.37</v>
      </c>
      <c r="H424" s="2"/>
    </row>
    <row r="425" spans="1:8" hidden="1" x14ac:dyDescent="0.25">
      <c r="A425">
        <v>2020</v>
      </c>
      <c r="B425" t="s">
        <v>29</v>
      </c>
      <c r="C425">
        <v>2022</v>
      </c>
      <c r="D425">
        <v>2054.77</v>
      </c>
      <c r="E425">
        <v>32</v>
      </c>
      <c r="F425">
        <v>600388.1</v>
      </c>
      <c r="G425">
        <v>423.93</v>
      </c>
      <c r="H425" s="2"/>
    </row>
    <row r="426" spans="1:8" hidden="1" x14ac:dyDescent="0.25">
      <c r="A426">
        <v>2020</v>
      </c>
      <c r="B426" t="s">
        <v>29</v>
      </c>
      <c r="C426">
        <v>2023</v>
      </c>
      <c r="D426">
        <v>173.22</v>
      </c>
      <c r="E426">
        <v>3</v>
      </c>
      <c r="F426">
        <v>609114.37</v>
      </c>
      <c r="G426">
        <v>434.57</v>
      </c>
      <c r="H426" s="2"/>
    </row>
    <row r="427" spans="1:8" hidden="1" x14ac:dyDescent="0.25">
      <c r="A427">
        <v>2020</v>
      </c>
      <c r="B427" t="s">
        <v>29</v>
      </c>
      <c r="C427">
        <v>2024</v>
      </c>
      <c r="D427">
        <v>445.34</v>
      </c>
      <c r="E427">
        <v>8</v>
      </c>
      <c r="F427">
        <v>598289.6</v>
      </c>
      <c r="G427">
        <v>429.6</v>
      </c>
      <c r="H427" s="2"/>
    </row>
    <row r="428" spans="1:8" hidden="1" x14ac:dyDescent="0.25">
      <c r="A428">
        <v>2020</v>
      </c>
      <c r="B428" t="s">
        <v>30</v>
      </c>
      <c r="C428">
        <v>2019</v>
      </c>
      <c r="D428">
        <v>111.66</v>
      </c>
      <c r="E428">
        <v>5</v>
      </c>
      <c r="F428">
        <v>558752.37</v>
      </c>
      <c r="G428">
        <v>324.41000000000003</v>
      </c>
      <c r="H428" s="2">
        <f t="shared" ref="H428" si="69">SUM(E428:E433)</f>
        <v>87</v>
      </c>
    </row>
    <row r="429" spans="1:8" hidden="1" x14ac:dyDescent="0.25">
      <c r="A429">
        <v>2020</v>
      </c>
      <c r="B429" t="s">
        <v>30</v>
      </c>
      <c r="C429">
        <v>2020</v>
      </c>
      <c r="D429">
        <v>125.67</v>
      </c>
      <c r="E429">
        <v>4</v>
      </c>
      <c r="F429">
        <v>548940.35</v>
      </c>
      <c r="G429">
        <v>320.36</v>
      </c>
      <c r="H429" s="2"/>
    </row>
    <row r="430" spans="1:8" hidden="1" x14ac:dyDescent="0.25">
      <c r="A430">
        <v>2020</v>
      </c>
      <c r="B430" t="s">
        <v>30</v>
      </c>
      <c r="C430">
        <v>2021</v>
      </c>
      <c r="D430">
        <v>1259.76</v>
      </c>
      <c r="E430">
        <v>30</v>
      </c>
      <c r="F430">
        <v>526788.56999999995</v>
      </c>
      <c r="G430">
        <v>315.47000000000003</v>
      </c>
      <c r="H430" s="2"/>
    </row>
    <row r="431" spans="1:8" hidden="1" x14ac:dyDescent="0.25">
      <c r="A431">
        <v>2020</v>
      </c>
      <c r="B431" t="s">
        <v>30</v>
      </c>
      <c r="C431">
        <v>2022</v>
      </c>
      <c r="D431">
        <v>998.63</v>
      </c>
      <c r="E431">
        <v>22</v>
      </c>
      <c r="F431">
        <v>528456.69999999995</v>
      </c>
      <c r="G431">
        <v>318.98</v>
      </c>
      <c r="H431" s="2"/>
    </row>
    <row r="432" spans="1:8" hidden="1" x14ac:dyDescent="0.25">
      <c r="A432">
        <v>2020</v>
      </c>
      <c r="B432" t="s">
        <v>30</v>
      </c>
      <c r="C432">
        <v>2023</v>
      </c>
      <c r="D432">
        <v>384.92</v>
      </c>
      <c r="E432">
        <v>11</v>
      </c>
      <c r="F432">
        <v>548140.64</v>
      </c>
      <c r="G432">
        <v>319.72000000000003</v>
      </c>
      <c r="H432" s="2"/>
    </row>
    <row r="433" spans="1:8" hidden="1" x14ac:dyDescent="0.25">
      <c r="A433">
        <v>2020</v>
      </c>
      <c r="B433" t="s">
        <v>30</v>
      </c>
      <c r="C433">
        <v>2024</v>
      </c>
      <c r="D433">
        <v>576.88</v>
      </c>
      <c r="E433">
        <v>15</v>
      </c>
      <c r="F433">
        <v>539521.56999999995</v>
      </c>
      <c r="G433">
        <v>320.85000000000002</v>
      </c>
      <c r="H433" s="2"/>
    </row>
    <row r="434" spans="1:8" hidden="1" x14ac:dyDescent="0.25">
      <c r="A434">
        <v>2020</v>
      </c>
      <c r="B434" t="s">
        <v>31</v>
      </c>
      <c r="C434">
        <v>2019</v>
      </c>
      <c r="D434">
        <v>0.51</v>
      </c>
      <c r="E434">
        <v>1</v>
      </c>
      <c r="F434">
        <v>969670.63</v>
      </c>
      <c r="G434">
        <v>516.63</v>
      </c>
      <c r="H434" s="2">
        <f t="shared" ref="H434" si="70">SUM(E434:E439)</f>
        <v>75</v>
      </c>
    </row>
    <row r="435" spans="1:8" hidden="1" x14ac:dyDescent="0.25">
      <c r="A435">
        <v>2020</v>
      </c>
      <c r="B435" t="s">
        <v>31</v>
      </c>
      <c r="C435">
        <v>2020</v>
      </c>
      <c r="D435">
        <v>369.95</v>
      </c>
      <c r="E435">
        <v>9</v>
      </c>
      <c r="F435">
        <v>878704.89</v>
      </c>
      <c r="G435">
        <v>502.74</v>
      </c>
      <c r="H435" s="2"/>
    </row>
    <row r="436" spans="1:8" hidden="1" x14ac:dyDescent="0.25">
      <c r="A436">
        <v>2020</v>
      </c>
      <c r="B436" t="s">
        <v>31</v>
      </c>
      <c r="C436">
        <v>2021</v>
      </c>
      <c r="D436">
        <v>1904.94</v>
      </c>
      <c r="E436">
        <v>33</v>
      </c>
      <c r="F436">
        <v>905048.8</v>
      </c>
      <c r="G436">
        <v>501.62</v>
      </c>
      <c r="H436" s="2"/>
    </row>
    <row r="437" spans="1:8" hidden="1" x14ac:dyDescent="0.25">
      <c r="A437">
        <v>2020</v>
      </c>
      <c r="B437" t="s">
        <v>31</v>
      </c>
      <c r="C437">
        <v>2022</v>
      </c>
      <c r="D437">
        <v>858.41</v>
      </c>
      <c r="E437">
        <v>16</v>
      </c>
      <c r="F437">
        <v>836841.65</v>
      </c>
      <c r="G437">
        <v>503.63</v>
      </c>
      <c r="H437" s="2"/>
    </row>
    <row r="438" spans="1:8" hidden="1" x14ac:dyDescent="0.25">
      <c r="A438">
        <v>2020</v>
      </c>
      <c r="B438" t="s">
        <v>31</v>
      </c>
      <c r="C438">
        <v>2023</v>
      </c>
      <c r="D438">
        <v>497.64</v>
      </c>
      <c r="E438">
        <v>11</v>
      </c>
      <c r="F438">
        <v>914288.53</v>
      </c>
      <c r="G438">
        <v>511.77</v>
      </c>
      <c r="H438" s="2"/>
    </row>
    <row r="439" spans="1:8" hidden="1" x14ac:dyDescent="0.25">
      <c r="A439">
        <v>2020</v>
      </c>
      <c r="B439" t="s">
        <v>31</v>
      </c>
      <c r="C439">
        <v>2024</v>
      </c>
      <c r="D439">
        <v>232.12</v>
      </c>
      <c r="E439">
        <v>5</v>
      </c>
      <c r="F439">
        <v>922212.61</v>
      </c>
      <c r="G439">
        <v>503.85</v>
      </c>
      <c r="H439" s="2"/>
    </row>
    <row r="440" spans="1:8" hidden="1" x14ac:dyDescent="0.25">
      <c r="A440">
        <v>2020</v>
      </c>
      <c r="B440" t="s">
        <v>32</v>
      </c>
      <c r="C440">
        <v>2019</v>
      </c>
      <c r="D440">
        <v>516.62</v>
      </c>
      <c r="E440">
        <v>9</v>
      </c>
      <c r="F440">
        <v>907703.63</v>
      </c>
      <c r="G440">
        <v>524.44000000000005</v>
      </c>
      <c r="H440" s="2">
        <f t="shared" ref="H440" si="71">SUM(E440:E445)</f>
        <v>91</v>
      </c>
    </row>
    <row r="441" spans="1:8" hidden="1" x14ac:dyDescent="0.25">
      <c r="A441">
        <v>2020</v>
      </c>
      <c r="B441" t="s">
        <v>32</v>
      </c>
      <c r="C441">
        <v>2020</v>
      </c>
      <c r="D441">
        <v>80.48</v>
      </c>
      <c r="E441">
        <v>5</v>
      </c>
      <c r="F441">
        <v>854228.26</v>
      </c>
      <c r="G441">
        <v>516.04999999999995</v>
      </c>
      <c r="H441" s="2"/>
    </row>
    <row r="442" spans="1:8" hidden="1" x14ac:dyDescent="0.25">
      <c r="A442">
        <v>2020</v>
      </c>
      <c r="B442" t="s">
        <v>32</v>
      </c>
      <c r="C442">
        <v>2021</v>
      </c>
      <c r="D442">
        <v>1820.1</v>
      </c>
      <c r="E442">
        <v>43</v>
      </c>
      <c r="F442">
        <v>871531.89</v>
      </c>
      <c r="G442">
        <v>507.69</v>
      </c>
      <c r="H442" s="2"/>
    </row>
    <row r="443" spans="1:8" hidden="1" x14ac:dyDescent="0.25">
      <c r="A443">
        <v>2020</v>
      </c>
      <c r="B443" t="s">
        <v>32</v>
      </c>
      <c r="C443">
        <v>2022</v>
      </c>
      <c r="D443">
        <v>567.59</v>
      </c>
      <c r="E443">
        <v>10</v>
      </c>
      <c r="F443">
        <v>848230.06</v>
      </c>
      <c r="G443">
        <v>516.91999999999996</v>
      </c>
      <c r="H443" s="2"/>
    </row>
    <row r="444" spans="1:8" hidden="1" x14ac:dyDescent="0.25">
      <c r="A444">
        <v>2020</v>
      </c>
      <c r="B444" t="s">
        <v>32</v>
      </c>
      <c r="C444">
        <v>2023</v>
      </c>
      <c r="D444">
        <v>822.65</v>
      </c>
      <c r="E444">
        <v>13</v>
      </c>
      <c r="F444">
        <v>871873.1</v>
      </c>
      <c r="G444">
        <v>526.16999999999996</v>
      </c>
      <c r="H444" s="2"/>
    </row>
    <row r="445" spans="1:8" hidden="1" x14ac:dyDescent="0.25">
      <c r="A445">
        <v>2020</v>
      </c>
      <c r="B445" t="s">
        <v>32</v>
      </c>
      <c r="C445">
        <v>2024</v>
      </c>
      <c r="D445">
        <v>648.79999999999995</v>
      </c>
      <c r="E445">
        <v>11</v>
      </c>
      <c r="F445">
        <v>870030.14</v>
      </c>
      <c r="G445">
        <v>516.42999999999995</v>
      </c>
      <c r="H445" s="2"/>
    </row>
    <row r="446" spans="1:8" hidden="1" x14ac:dyDescent="0.25">
      <c r="A446">
        <v>2020</v>
      </c>
      <c r="B446" t="s">
        <v>33</v>
      </c>
      <c r="C446">
        <v>2019</v>
      </c>
      <c r="D446">
        <v>4.1900000000000004</v>
      </c>
      <c r="E446">
        <v>1</v>
      </c>
      <c r="F446">
        <v>868175.92</v>
      </c>
      <c r="G446">
        <v>555.98</v>
      </c>
      <c r="H446" s="2">
        <f t="shared" ref="H446" si="72">SUM(E446:E451)</f>
        <v>78</v>
      </c>
    </row>
    <row r="447" spans="1:8" hidden="1" x14ac:dyDescent="0.25">
      <c r="A447">
        <v>2020</v>
      </c>
      <c r="B447" t="s">
        <v>33</v>
      </c>
      <c r="C447">
        <v>2020</v>
      </c>
      <c r="D447">
        <v>94.21</v>
      </c>
      <c r="E447">
        <v>3</v>
      </c>
      <c r="F447">
        <v>842611.6</v>
      </c>
      <c r="G447">
        <v>546.49</v>
      </c>
      <c r="H447" s="2"/>
    </row>
    <row r="448" spans="1:8" hidden="1" x14ac:dyDescent="0.25">
      <c r="A448">
        <v>2020</v>
      </c>
      <c r="B448" t="s">
        <v>33</v>
      </c>
      <c r="C448">
        <v>2021</v>
      </c>
      <c r="D448">
        <v>524.61</v>
      </c>
      <c r="E448">
        <v>14</v>
      </c>
      <c r="F448">
        <v>859334.09</v>
      </c>
      <c r="G448">
        <v>549.83000000000004</v>
      </c>
      <c r="H448" s="2"/>
    </row>
    <row r="449" spans="1:8" hidden="1" x14ac:dyDescent="0.25">
      <c r="A449">
        <v>2020</v>
      </c>
      <c r="B449" t="s">
        <v>33</v>
      </c>
      <c r="C449">
        <v>2022</v>
      </c>
      <c r="D449">
        <v>877.37</v>
      </c>
      <c r="E449">
        <v>15</v>
      </c>
      <c r="F449">
        <v>840191.65</v>
      </c>
      <c r="G449">
        <v>545.34</v>
      </c>
      <c r="H449" s="2"/>
    </row>
    <row r="450" spans="1:8" hidden="1" x14ac:dyDescent="0.25">
      <c r="A450">
        <v>2020</v>
      </c>
      <c r="B450" t="s">
        <v>33</v>
      </c>
      <c r="C450">
        <v>2023</v>
      </c>
      <c r="D450">
        <v>299.81</v>
      </c>
      <c r="E450">
        <v>5</v>
      </c>
      <c r="F450">
        <v>862488.78</v>
      </c>
      <c r="G450">
        <v>559.85</v>
      </c>
      <c r="H450" s="2"/>
    </row>
    <row r="451" spans="1:8" hidden="1" x14ac:dyDescent="0.25">
      <c r="A451">
        <v>2020</v>
      </c>
      <c r="B451" t="s">
        <v>33</v>
      </c>
      <c r="C451">
        <v>2024</v>
      </c>
      <c r="D451">
        <v>2198.21</v>
      </c>
      <c r="E451">
        <v>40</v>
      </c>
      <c r="F451">
        <v>843700.94</v>
      </c>
      <c r="G451">
        <v>544.35</v>
      </c>
      <c r="H451" s="2"/>
    </row>
    <row r="452" spans="1:8" hidden="1" x14ac:dyDescent="0.25">
      <c r="A452">
        <v>2020</v>
      </c>
      <c r="B452" t="s">
        <v>34</v>
      </c>
      <c r="C452">
        <v>2019</v>
      </c>
      <c r="D452">
        <v>15.28</v>
      </c>
      <c r="E452">
        <v>1</v>
      </c>
      <c r="F452">
        <v>909860.26</v>
      </c>
      <c r="G452">
        <v>461.66</v>
      </c>
      <c r="H452" s="2">
        <f t="shared" ref="H452" si="73">SUM(E452:E457)</f>
        <v>81</v>
      </c>
    </row>
    <row r="453" spans="1:8" hidden="1" x14ac:dyDescent="0.25">
      <c r="A453">
        <v>2020</v>
      </c>
      <c r="B453" t="s">
        <v>34</v>
      </c>
      <c r="C453">
        <v>2020</v>
      </c>
      <c r="D453">
        <v>1031.47</v>
      </c>
      <c r="E453">
        <v>17</v>
      </c>
      <c r="F453">
        <v>839500.46</v>
      </c>
      <c r="G453">
        <v>447.41</v>
      </c>
      <c r="H453" s="2"/>
    </row>
    <row r="454" spans="1:8" hidden="1" x14ac:dyDescent="0.25">
      <c r="A454">
        <v>2020</v>
      </c>
      <c r="B454" t="s">
        <v>34</v>
      </c>
      <c r="C454">
        <v>2021</v>
      </c>
      <c r="D454">
        <v>2106.63</v>
      </c>
      <c r="E454">
        <v>42</v>
      </c>
      <c r="F454">
        <v>866137.58</v>
      </c>
      <c r="G454">
        <v>449.07</v>
      </c>
      <c r="H454" s="2"/>
    </row>
    <row r="455" spans="1:8" hidden="1" x14ac:dyDescent="0.25">
      <c r="A455">
        <v>2020</v>
      </c>
      <c r="B455" t="s">
        <v>34</v>
      </c>
      <c r="C455">
        <v>2022</v>
      </c>
      <c r="D455">
        <v>903.72</v>
      </c>
      <c r="E455">
        <v>13</v>
      </c>
      <c r="F455">
        <v>814624.77</v>
      </c>
      <c r="G455">
        <v>449</v>
      </c>
      <c r="H455" s="2"/>
    </row>
    <row r="456" spans="1:8" hidden="1" x14ac:dyDescent="0.25">
      <c r="A456">
        <v>2020</v>
      </c>
      <c r="B456" t="s">
        <v>34</v>
      </c>
      <c r="C456">
        <v>2023</v>
      </c>
      <c r="D456">
        <v>275.75</v>
      </c>
      <c r="E456">
        <v>8</v>
      </c>
      <c r="F456">
        <v>871182.45</v>
      </c>
      <c r="G456">
        <v>459.23</v>
      </c>
      <c r="H456" s="2"/>
    </row>
    <row r="457" spans="1:8" hidden="1" x14ac:dyDescent="0.25">
      <c r="A457">
        <v>2020</v>
      </c>
      <c r="B457" t="s">
        <v>34</v>
      </c>
      <c r="C457">
        <v>2024</v>
      </c>
      <c r="D457">
        <v>0</v>
      </c>
      <c r="E457">
        <v>0</v>
      </c>
      <c r="F457">
        <v>866632.41</v>
      </c>
      <c r="G457">
        <v>456.85</v>
      </c>
      <c r="H457" s="2"/>
    </row>
    <row r="458" spans="1:8" hidden="1" x14ac:dyDescent="0.25">
      <c r="A458">
        <v>2020</v>
      </c>
      <c r="B458" t="s">
        <v>35</v>
      </c>
      <c r="C458">
        <v>2019</v>
      </c>
      <c r="D458">
        <v>0</v>
      </c>
      <c r="E458">
        <v>0</v>
      </c>
      <c r="F458">
        <v>849338.56</v>
      </c>
      <c r="G458">
        <v>613.32000000000005</v>
      </c>
      <c r="H458" s="2">
        <f t="shared" ref="H458" si="74">SUM(E458:E463)</f>
        <v>51</v>
      </c>
    </row>
    <row r="459" spans="1:8" hidden="1" x14ac:dyDescent="0.25">
      <c r="A459">
        <v>2020</v>
      </c>
      <c r="B459" t="s">
        <v>35</v>
      </c>
      <c r="C459">
        <v>2020</v>
      </c>
      <c r="D459">
        <v>147.75</v>
      </c>
      <c r="E459">
        <v>3</v>
      </c>
      <c r="F459">
        <v>804479.63</v>
      </c>
      <c r="G459">
        <v>596.14</v>
      </c>
      <c r="H459" s="2"/>
    </row>
    <row r="460" spans="1:8" hidden="1" x14ac:dyDescent="0.25">
      <c r="A460">
        <v>2020</v>
      </c>
      <c r="B460" t="s">
        <v>35</v>
      </c>
      <c r="C460">
        <v>2021</v>
      </c>
      <c r="D460">
        <v>1009.44</v>
      </c>
      <c r="E460">
        <v>27</v>
      </c>
      <c r="F460">
        <v>831819.07</v>
      </c>
      <c r="G460">
        <v>595.21</v>
      </c>
      <c r="H460" s="2"/>
    </row>
    <row r="461" spans="1:8" hidden="1" x14ac:dyDescent="0.25">
      <c r="A461">
        <v>2020</v>
      </c>
      <c r="B461" t="s">
        <v>35</v>
      </c>
      <c r="C461">
        <v>2022</v>
      </c>
      <c r="D461">
        <v>0</v>
      </c>
      <c r="E461">
        <v>0</v>
      </c>
      <c r="F461">
        <v>819281.08</v>
      </c>
      <c r="G461">
        <v>604.54999999999995</v>
      </c>
      <c r="H461" s="2"/>
    </row>
    <row r="462" spans="1:8" hidden="1" x14ac:dyDescent="0.25">
      <c r="A462">
        <v>2020</v>
      </c>
      <c r="B462" t="s">
        <v>35</v>
      </c>
      <c r="C462">
        <v>2023</v>
      </c>
      <c r="D462">
        <v>307.51</v>
      </c>
      <c r="E462">
        <v>5</v>
      </c>
      <c r="F462">
        <v>837553.72</v>
      </c>
      <c r="G462">
        <v>611.35</v>
      </c>
      <c r="H462" s="2"/>
    </row>
    <row r="463" spans="1:8" hidden="1" x14ac:dyDescent="0.25">
      <c r="A463">
        <v>2020</v>
      </c>
      <c r="B463" t="s">
        <v>35</v>
      </c>
      <c r="C463">
        <v>2024</v>
      </c>
      <c r="D463">
        <v>692.29</v>
      </c>
      <c r="E463">
        <v>16</v>
      </c>
      <c r="F463">
        <v>834271.49</v>
      </c>
      <c r="G463">
        <v>604.58000000000004</v>
      </c>
      <c r="H463" s="2"/>
    </row>
    <row r="464" spans="1:8" hidden="1" x14ac:dyDescent="0.25">
      <c r="A464">
        <v>2020</v>
      </c>
      <c r="B464" t="s">
        <v>22</v>
      </c>
      <c r="C464">
        <v>2019</v>
      </c>
      <c r="D464">
        <v>66.33</v>
      </c>
      <c r="E464">
        <v>2</v>
      </c>
      <c r="F464">
        <v>920660.21</v>
      </c>
      <c r="G464">
        <v>484.06</v>
      </c>
      <c r="H464" s="2">
        <f t="shared" ref="H464" si="75">SUM(E464:E469)</f>
        <v>77</v>
      </c>
    </row>
    <row r="465" spans="1:8" hidden="1" x14ac:dyDescent="0.25">
      <c r="A465">
        <v>2020</v>
      </c>
      <c r="B465" t="s">
        <v>22</v>
      </c>
      <c r="C465">
        <v>2020</v>
      </c>
      <c r="D465">
        <v>506.82</v>
      </c>
      <c r="E465">
        <v>12</v>
      </c>
      <c r="F465">
        <v>847674.52</v>
      </c>
      <c r="G465">
        <v>470.72</v>
      </c>
      <c r="H465" s="2"/>
    </row>
    <row r="466" spans="1:8" hidden="1" x14ac:dyDescent="0.25">
      <c r="A466">
        <v>2020</v>
      </c>
      <c r="B466" t="s">
        <v>22</v>
      </c>
      <c r="C466">
        <v>2021</v>
      </c>
      <c r="D466">
        <v>1369.71</v>
      </c>
      <c r="E466">
        <v>30</v>
      </c>
      <c r="F466">
        <v>881434.49</v>
      </c>
      <c r="G466">
        <v>468.26</v>
      </c>
      <c r="H466" s="2"/>
    </row>
    <row r="467" spans="1:8" hidden="1" x14ac:dyDescent="0.25">
      <c r="A467">
        <v>2020</v>
      </c>
      <c r="B467" t="s">
        <v>22</v>
      </c>
      <c r="C467">
        <v>2022</v>
      </c>
      <c r="D467">
        <v>952.18</v>
      </c>
      <c r="E467">
        <v>18</v>
      </c>
      <c r="F467">
        <v>834281.81</v>
      </c>
      <c r="G467">
        <v>471.25</v>
      </c>
      <c r="H467" s="2"/>
    </row>
    <row r="468" spans="1:8" hidden="1" x14ac:dyDescent="0.25">
      <c r="A468">
        <v>2020</v>
      </c>
      <c r="B468" t="s">
        <v>22</v>
      </c>
      <c r="C468">
        <v>2023</v>
      </c>
      <c r="D468">
        <v>391.72</v>
      </c>
      <c r="E468">
        <v>11</v>
      </c>
      <c r="F468">
        <v>892058.04</v>
      </c>
      <c r="G468">
        <v>480.49</v>
      </c>
      <c r="H468" s="2"/>
    </row>
    <row r="469" spans="1:8" hidden="1" x14ac:dyDescent="0.25">
      <c r="A469">
        <v>2020</v>
      </c>
      <c r="B469" t="s">
        <v>22</v>
      </c>
      <c r="C469">
        <v>2024</v>
      </c>
      <c r="D469">
        <v>188.06</v>
      </c>
      <c r="E469">
        <v>4</v>
      </c>
      <c r="F469">
        <v>889931.96</v>
      </c>
      <c r="G469">
        <v>478.25</v>
      </c>
      <c r="H469" s="2"/>
    </row>
    <row r="470" spans="1:8" hidden="1" x14ac:dyDescent="0.25">
      <c r="A470">
        <v>2020</v>
      </c>
      <c r="B470" t="s">
        <v>36</v>
      </c>
      <c r="C470">
        <v>2019</v>
      </c>
      <c r="D470">
        <v>70.900000000000006</v>
      </c>
      <c r="E470">
        <v>1</v>
      </c>
      <c r="F470">
        <v>1167611.57</v>
      </c>
      <c r="G470">
        <v>461.31</v>
      </c>
      <c r="H470" s="2">
        <f t="shared" ref="H470" si="76">SUM(E470:E475)</f>
        <v>60</v>
      </c>
    </row>
    <row r="471" spans="1:8" hidden="1" x14ac:dyDescent="0.25">
      <c r="A471">
        <v>2020</v>
      </c>
      <c r="B471" t="s">
        <v>36</v>
      </c>
      <c r="C471">
        <v>2020</v>
      </c>
      <c r="D471">
        <v>307.3</v>
      </c>
      <c r="E471">
        <v>8</v>
      </c>
      <c r="F471">
        <v>1059728.02</v>
      </c>
      <c r="G471">
        <v>450.57</v>
      </c>
      <c r="H471" s="2"/>
    </row>
    <row r="472" spans="1:8" hidden="1" x14ac:dyDescent="0.25">
      <c r="A472">
        <v>2020</v>
      </c>
      <c r="B472" t="s">
        <v>36</v>
      </c>
      <c r="C472">
        <v>2021</v>
      </c>
      <c r="D472">
        <v>1377.8</v>
      </c>
      <c r="E472">
        <v>29</v>
      </c>
      <c r="F472">
        <v>1106912.43</v>
      </c>
      <c r="G472">
        <v>451.38</v>
      </c>
      <c r="H472" s="2"/>
    </row>
    <row r="473" spans="1:8" hidden="1" x14ac:dyDescent="0.25">
      <c r="A473">
        <v>2020</v>
      </c>
      <c r="B473" t="s">
        <v>36</v>
      </c>
      <c r="C473">
        <v>2022</v>
      </c>
      <c r="D473">
        <v>247.29</v>
      </c>
      <c r="E473">
        <v>4</v>
      </c>
      <c r="F473">
        <v>1021061.16</v>
      </c>
      <c r="G473">
        <v>453.51</v>
      </c>
      <c r="H473" s="2"/>
    </row>
    <row r="474" spans="1:8" hidden="1" x14ac:dyDescent="0.25">
      <c r="A474">
        <v>2020</v>
      </c>
      <c r="B474" t="s">
        <v>36</v>
      </c>
      <c r="C474">
        <v>2023</v>
      </c>
      <c r="D474">
        <v>598.12</v>
      </c>
      <c r="E474">
        <v>15</v>
      </c>
      <c r="F474">
        <v>1109238.6299999999</v>
      </c>
      <c r="G474">
        <v>457.81</v>
      </c>
      <c r="H474" s="2"/>
    </row>
    <row r="475" spans="1:8" hidden="1" x14ac:dyDescent="0.25">
      <c r="A475">
        <v>2020</v>
      </c>
      <c r="B475" t="s">
        <v>36</v>
      </c>
      <c r="C475">
        <v>2024</v>
      </c>
      <c r="D475">
        <v>131.72999999999999</v>
      </c>
      <c r="E475">
        <v>3</v>
      </c>
      <c r="F475">
        <v>1123269.97</v>
      </c>
      <c r="G475">
        <v>456.03</v>
      </c>
      <c r="H475" s="2"/>
    </row>
    <row r="476" spans="1:8" hidden="1" x14ac:dyDescent="0.25">
      <c r="A476">
        <v>2020</v>
      </c>
      <c r="B476" t="s">
        <v>37</v>
      </c>
      <c r="C476">
        <v>2019</v>
      </c>
      <c r="D476">
        <v>0</v>
      </c>
      <c r="E476">
        <v>0</v>
      </c>
      <c r="F476">
        <v>1029390.55</v>
      </c>
      <c r="G476">
        <v>539.13</v>
      </c>
      <c r="H476" s="2">
        <f t="shared" ref="H476" si="77">SUM(E476:E481)</f>
        <v>85</v>
      </c>
    </row>
    <row r="477" spans="1:8" hidden="1" x14ac:dyDescent="0.25">
      <c r="A477">
        <v>2020</v>
      </c>
      <c r="B477" t="s">
        <v>37</v>
      </c>
      <c r="C477">
        <v>2020</v>
      </c>
      <c r="D477">
        <v>624.89</v>
      </c>
      <c r="E477">
        <v>14</v>
      </c>
      <c r="F477">
        <v>928000.26</v>
      </c>
      <c r="G477">
        <v>526.04999999999995</v>
      </c>
      <c r="H477" s="2"/>
    </row>
    <row r="478" spans="1:8" hidden="1" x14ac:dyDescent="0.25">
      <c r="A478">
        <v>2020</v>
      </c>
      <c r="B478" t="s">
        <v>37</v>
      </c>
      <c r="C478">
        <v>2021</v>
      </c>
      <c r="D478">
        <v>1792.63</v>
      </c>
      <c r="E478">
        <v>33</v>
      </c>
      <c r="F478">
        <v>957902.94</v>
      </c>
      <c r="G478">
        <v>526.03</v>
      </c>
      <c r="H478" s="2"/>
    </row>
    <row r="479" spans="1:8" hidden="1" x14ac:dyDescent="0.25">
      <c r="A479">
        <v>2020</v>
      </c>
      <c r="B479" t="s">
        <v>37</v>
      </c>
      <c r="C479">
        <v>2022</v>
      </c>
      <c r="D479">
        <v>971</v>
      </c>
      <c r="E479">
        <v>17</v>
      </c>
      <c r="F479">
        <v>874096.81</v>
      </c>
      <c r="G479">
        <v>526.6</v>
      </c>
      <c r="H479" s="2"/>
    </row>
    <row r="480" spans="1:8" hidden="1" x14ac:dyDescent="0.25">
      <c r="A480">
        <v>2020</v>
      </c>
      <c r="B480" t="s">
        <v>37</v>
      </c>
      <c r="C480">
        <v>2023</v>
      </c>
      <c r="D480">
        <v>406.9</v>
      </c>
      <c r="E480">
        <v>10</v>
      </c>
      <c r="F480">
        <v>969470.68</v>
      </c>
      <c r="G480">
        <v>535.66</v>
      </c>
      <c r="H480" s="2"/>
    </row>
    <row r="481" spans="1:9" hidden="1" x14ac:dyDescent="0.25">
      <c r="A481">
        <v>2020</v>
      </c>
      <c r="B481" t="s">
        <v>37</v>
      </c>
      <c r="C481">
        <v>2024</v>
      </c>
      <c r="D481">
        <v>434.13</v>
      </c>
      <c r="E481">
        <v>11</v>
      </c>
      <c r="F481">
        <v>971433.75</v>
      </c>
      <c r="G481">
        <v>524.17999999999995</v>
      </c>
      <c r="H481" s="2"/>
    </row>
    <row r="482" spans="1:9" x14ac:dyDescent="0.25">
      <c r="A482">
        <v>2020</v>
      </c>
      <c r="B482" t="s">
        <v>38</v>
      </c>
      <c r="C482">
        <v>2019</v>
      </c>
      <c r="D482">
        <v>0</v>
      </c>
      <c r="E482">
        <v>0</v>
      </c>
      <c r="F482">
        <v>1007826.03</v>
      </c>
      <c r="G482">
        <v>519.64</v>
      </c>
      <c r="H482" s="2">
        <f t="shared" ref="H482" si="78">SUM(E482:E487)</f>
        <v>43</v>
      </c>
      <c r="I482" s="1">
        <v>2020</v>
      </c>
    </row>
    <row r="483" spans="1:9" x14ac:dyDescent="0.25">
      <c r="A483">
        <v>2020</v>
      </c>
      <c r="B483" t="s">
        <v>38</v>
      </c>
      <c r="C483">
        <v>2020</v>
      </c>
      <c r="D483">
        <v>413.99</v>
      </c>
      <c r="E483">
        <v>7</v>
      </c>
      <c r="F483">
        <v>924252.99</v>
      </c>
      <c r="G483">
        <v>505.94</v>
      </c>
      <c r="H483" s="2"/>
      <c r="I483" s="1"/>
    </row>
    <row r="484" spans="1:9" x14ac:dyDescent="0.25">
      <c r="A484">
        <v>2020</v>
      </c>
      <c r="B484" t="s">
        <v>38</v>
      </c>
      <c r="C484">
        <v>2021</v>
      </c>
      <c r="D484">
        <v>978.63</v>
      </c>
      <c r="E484">
        <v>20</v>
      </c>
      <c r="F484">
        <v>968537.02</v>
      </c>
      <c r="G484">
        <v>505.53</v>
      </c>
      <c r="H484" s="2"/>
      <c r="I484" s="1"/>
    </row>
    <row r="485" spans="1:9" x14ac:dyDescent="0.25">
      <c r="A485">
        <v>2020</v>
      </c>
      <c r="B485" t="s">
        <v>38</v>
      </c>
      <c r="C485">
        <v>2022</v>
      </c>
      <c r="D485">
        <v>251.93</v>
      </c>
      <c r="E485">
        <v>4</v>
      </c>
      <c r="F485">
        <v>926433.6</v>
      </c>
      <c r="G485">
        <v>512.21</v>
      </c>
      <c r="H485" s="2"/>
      <c r="I485" s="1"/>
    </row>
    <row r="486" spans="1:9" x14ac:dyDescent="0.25">
      <c r="A486">
        <v>2020</v>
      </c>
      <c r="B486" t="s">
        <v>38</v>
      </c>
      <c r="C486">
        <v>2023</v>
      </c>
      <c r="D486">
        <v>399.43</v>
      </c>
      <c r="E486">
        <v>11</v>
      </c>
      <c r="F486">
        <v>982667.87</v>
      </c>
      <c r="G486">
        <v>514.45000000000005</v>
      </c>
      <c r="H486" s="2"/>
      <c r="I486" s="1"/>
    </row>
    <row r="487" spans="1:9" x14ac:dyDescent="0.25">
      <c r="A487">
        <v>2020</v>
      </c>
      <c r="B487" t="s">
        <v>38</v>
      </c>
      <c r="C487">
        <v>2024</v>
      </c>
      <c r="D487">
        <v>34.840000000000003</v>
      </c>
      <c r="E487">
        <v>1</v>
      </c>
      <c r="F487">
        <v>992411.94</v>
      </c>
      <c r="G487">
        <v>515.45000000000005</v>
      </c>
      <c r="H487" s="2"/>
      <c r="I487" s="1"/>
    </row>
    <row r="488" spans="1:9" hidden="1" x14ac:dyDescent="0.25">
      <c r="A488">
        <v>2020</v>
      </c>
      <c r="B488" t="s">
        <v>39</v>
      </c>
      <c r="C488">
        <v>2019</v>
      </c>
      <c r="D488">
        <v>4.1900000000000004</v>
      </c>
      <c r="E488">
        <v>1</v>
      </c>
      <c r="F488">
        <v>868175.92</v>
      </c>
      <c r="G488">
        <v>555.98</v>
      </c>
      <c r="H488" s="2">
        <f t="shared" ref="H488" si="79">SUM(E488:E493)</f>
        <v>78</v>
      </c>
    </row>
    <row r="489" spans="1:9" hidden="1" x14ac:dyDescent="0.25">
      <c r="A489">
        <v>2020</v>
      </c>
      <c r="B489" t="s">
        <v>39</v>
      </c>
      <c r="C489">
        <v>2020</v>
      </c>
      <c r="D489">
        <v>94.21</v>
      </c>
      <c r="E489">
        <v>3</v>
      </c>
      <c r="F489">
        <v>842611.6</v>
      </c>
      <c r="G489">
        <v>546.49</v>
      </c>
      <c r="H489" s="2"/>
    </row>
    <row r="490" spans="1:9" hidden="1" x14ac:dyDescent="0.25">
      <c r="A490">
        <v>2020</v>
      </c>
      <c r="B490" t="s">
        <v>39</v>
      </c>
      <c r="C490">
        <v>2021</v>
      </c>
      <c r="D490">
        <v>524.61</v>
      </c>
      <c r="E490">
        <v>14</v>
      </c>
      <c r="F490">
        <v>859334.09</v>
      </c>
      <c r="G490">
        <v>549.83000000000004</v>
      </c>
      <c r="H490" s="2"/>
    </row>
    <row r="491" spans="1:9" hidden="1" x14ac:dyDescent="0.25">
      <c r="A491">
        <v>2020</v>
      </c>
      <c r="B491" t="s">
        <v>39</v>
      </c>
      <c r="C491">
        <v>2022</v>
      </c>
      <c r="D491">
        <v>877.37</v>
      </c>
      <c r="E491">
        <v>15</v>
      </c>
      <c r="F491">
        <v>840191.65</v>
      </c>
      <c r="G491">
        <v>545.34</v>
      </c>
      <c r="H491" s="2"/>
    </row>
    <row r="492" spans="1:9" hidden="1" x14ac:dyDescent="0.25">
      <c r="A492">
        <v>2020</v>
      </c>
      <c r="B492" t="s">
        <v>39</v>
      </c>
      <c r="C492">
        <v>2023</v>
      </c>
      <c r="D492">
        <v>299.81</v>
      </c>
      <c r="E492">
        <v>5</v>
      </c>
      <c r="F492">
        <v>862488.78</v>
      </c>
      <c r="G492">
        <v>559.85</v>
      </c>
      <c r="H492" s="2"/>
    </row>
    <row r="493" spans="1:9" hidden="1" x14ac:dyDescent="0.25">
      <c r="A493">
        <v>2020</v>
      </c>
      <c r="B493" t="s">
        <v>39</v>
      </c>
      <c r="C493">
        <v>2024</v>
      </c>
      <c r="D493">
        <v>2198.21</v>
      </c>
      <c r="E493">
        <v>40</v>
      </c>
      <c r="F493">
        <v>843700.94</v>
      </c>
      <c r="G493">
        <v>544.35</v>
      </c>
      <c r="H493" s="2"/>
    </row>
    <row r="494" spans="1:9" hidden="1" x14ac:dyDescent="0.25">
      <c r="A494">
        <v>2020</v>
      </c>
      <c r="B494" t="s">
        <v>40</v>
      </c>
      <c r="C494">
        <v>2019</v>
      </c>
      <c r="D494">
        <v>359.38</v>
      </c>
      <c r="E494">
        <v>9</v>
      </c>
      <c r="F494">
        <v>767572.85</v>
      </c>
      <c r="G494">
        <v>511.15</v>
      </c>
      <c r="H494" s="2">
        <f t="shared" ref="H494" si="80">SUM(E494:E499)</f>
        <v>60</v>
      </c>
    </row>
    <row r="495" spans="1:9" hidden="1" x14ac:dyDescent="0.25">
      <c r="A495">
        <v>2020</v>
      </c>
      <c r="B495" t="s">
        <v>40</v>
      </c>
      <c r="C495">
        <v>2020</v>
      </c>
      <c r="D495">
        <v>275.87</v>
      </c>
      <c r="E495">
        <v>5</v>
      </c>
      <c r="F495">
        <v>743540.32</v>
      </c>
      <c r="G495">
        <v>503.49</v>
      </c>
      <c r="H495" s="2"/>
    </row>
    <row r="496" spans="1:9" hidden="1" x14ac:dyDescent="0.25">
      <c r="A496">
        <v>2020</v>
      </c>
      <c r="B496" t="s">
        <v>40</v>
      </c>
      <c r="C496">
        <v>2021</v>
      </c>
      <c r="D496">
        <v>683.64</v>
      </c>
      <c r="E496">
        <v>17</v>
      </c>
      <c r="F496">
        <v>765431.74</v>
      </c>
      <c r="G496">
        <v>503.66</v>
      </c>
      <c r="H496" s="2"/>
    </row>
    <row r="497" spans="1:8" hidden="1" x14ac:dyDescent="0.25">
      <c r="A497">
        <v>2020</v>
      </c>
      <c r="B497" t="s">
        <v>40</v>
      </c>
      <c r="C497">
        <v>2022</v>
      </c>
      <c r="D497">
        <v>508.36</v>
      </c>
      <c r="E497">
        <v>16</v>
      </c>
      <c r="F497">
        <v>736111.45</v>
      </c>
      <c r="G497">
        <v>496.62</v>
      </c>
      <c r="H497" s="2"/>
    </row>
    <row r="498" spans="1:8" hidden="1" x14ac:dyDescent="0.25">
      <c r="A498">
        <v>2020</v>
      </c>
      <c r="B498" t="s">
        <v>40</v>
      </c>
      <c r="C498">
        <v>2023</v>
      </c>
      <c r="D498">
        <v>544.05999999999995</v>
      </c>
      <c r="E498">
        <v>13</v>
      </c>
      <c r="F498">
        <v>769734.43</v>
      </c>
      <c r="G498">
        <v>502.44</v>
      </c>
      <c r="H498" s="2"/>
    </row>
    <row r="499" spans="1:8" hidden="1" x14ac:dyDescent="0.25">
      <c r="A499">
        <v>2020</v>
      </c>
      <c r="B499" t="s">
        <v>40</v>
      </c>
      <c r="C499">
        <v>2024</v>
      </c>
      <c r="D499">
        <v>0</v>
      </c>
      <c r="E499">
        <v>0</v>
      </c>
      <c r="F499">
        <v>763187.96</v>
      </c>
      <c r="G499">
        <v>510.8</v>
      </c>
      <c r="H499" s="2"/>
    </row>
    <row r="500" spans="1:8" hidden="1" x14ac:dyDescent="0.25">
      <c r="A500">
        <v>2020</v>
      </c>
      <c r="B500" t="s">
        <v>41</v>
      </c>
      <c r="C500">
        <v>2019</v>
      </c>
      <c r="D500">
        <v>238.01</v>
      </c>
      <c r="E500">
        <v>5</v>
      </c>
      <c r="F500">
        <v>654867.04</v>
      </c>
      <c r="G500">
        <v>337.72</v>
      </c>
      <c r="H500" s="2">
        <f t="shared" ref="H500" si="81">SUM(E500:E505)</f>
        <v>85</v>
      </c>
    </row>
    <row r="501" spans="1:8" hidden="1" x14ac:dyDescent="0.25">
      <c r="A501">
        <v>2020</v>
      </c>
      <c r="B501" t="s">
        <v>41</v>
      </c>
      <c r="C501">
        <v>2020</v>
      </c>
      <c r="D501">
        <v>351.64</v>
      </c>
      <c r="E501">
        <v>8</v>
      </c>
      <c r="F501">
        <v>636909.27</v>
      </c>
      <c r="G501">
        <v>331.75</v>
      </c>
      <c r="H501" s="2"/>
    </row>
    <row r="502" spans="1:8" hidden="1" x14ac:dyDescent="0.25">
      <c r="A502">
        <v>2020</v>
      </c>
      <c r="B502" t="s">
        <v>41</v>
      </c>
      <c r="C502">
        <v>2021</v>
      </c>
      <c r="D502">
        <v>202.63</v>
      </c>
      <c r="E502">
        <v>6</v>
      </c>
      <c r="F502">
        <v>640732.09</v>
      </c>
      <c r="G502">
        <v>333.43</v>
      </c>
      <c r="H502" s="2"/>
    </row>
    <row r="503" spans="1:8" hidden="1" x14ac:dyDescent="0.25">
      <c r="A503">
        <v>2020</v>
      </c>
      <c r="B503" t="s">
        <v>41</v>
      </c>
      <c r="C503">
        <v>2022</v>
      </c>
      <c r="D503">
        <v>560.92999999999995</v>
      </c>
      <c r="E503">
        <v>14</v>
      </c>
      <c r="F503">
        <v>620991.01</v>
      </c>
      <c r="G503">
        <v>330.49</v>
      </c>
      <c r="H503" s="2"/>
    </row>
    <row r="504" spans="1:8" hidden="1" x14ac:dyDescent="0.25">
      <c r="A504">
        <v>2020</v>
      </c>
      <c r="B504" t="s">
        <v>41</v>
      </c>
      <c r="C504">
        <v>2023</v>
      </c>
      <c r="D504">
        <v>1157.51</v>
      </c>
      <c r="E504">
        <v>18</v>
      </c>
      <c r="F504">
        <v>640419.55000000005</v>
      </c>
      <c r="G504">
        <v>333.15</v>
      </c>
      <c r="H504" s="2"/>
    </row>
    <row r="505" spans="1:8" hidden="1" x14ac:dyDescent="0.25">
      <c r="A505">
        <v>2020</v>
      </c>
      <c r="B505" t="s">
        <v>41</v>
      </c>
      <c r="C505">
        <v>2024</v>
      </c>
      <c r="D505">
        <v>1662.04</v>
      </c>
      <c r="E505">
        <v>34</v>
      </c>
      <c r="F505">
        <v>628574.56999999995</v>
      </c>
      <c r="G505">
        <v>328.31</v>
      </c>
      <c r="H505" s="2"/>
    </row>
    <row r="506" spans="1:8" hidden="1" x14ac:dyDescent="0.25">
      <c r="A506">
        <v>2020</v>
      </c>
      <c r="B506" t="s">
        <v>42</v>
      </c>
      <c r="C506">
        <v>2019</v>
      </c>
      <c r="D506">
        <v>246.11</v>
      </c>
      <c r="E506">
        <v>7</v>
      </c>
      <c r="F506">
        <v>586607.41</v>
      </c>
      <c r="G506">
        <v>470.17</v>
      </c>
      <c r="H506" s="2">
        <f t="shared" ref="H506" si="82">SUM(E506:E511)</f>
        <v>77</v>
      </c>
    </row>
    <row r="507" spans="1:8" hidden="1" x14ac:dyDescent="0.25">
      <c r="A507">
        <v>2020</v>
      </c>
      <c r="B507" t="s">
        <v>42</v>
      </c>
      <c r="C507">
        <v>2020</v>
      </c>
      <c r="D507">
        <v>219.71</v>
      </c>
      <c r="E507">
        <v>4</v>
      </c>
      <c r="F507">
        <v>575466.29</v>
      </c>
      <c r="G507">
        <v>458.17</v>
      </c>
      <c r="H507" s="2"/>
    </row>
    <row r="508" spans="1:8" hidden="1" x14ac:dyDescent="0.25">
      <c r="A508">
        <v>2020</v>
      </c>
      <c r="B508" t="s">
        <v>42</v>
      </c>
      <c r="C508">
        <v>2021</v>
      </c>
      <c r="D508">
        <v>268.92</v>
      </c>
      <c r="E508">
        <v>9</v>
      </c>
      <c r="F508">
        <v>572722.81999999995</v>
      </c>
      <c r="G508">
        <v>459.04</v>
      </c>
      <c r="H508" s="2"/>
    </row>
    <row r="509" spans="1:8" hidden="1" x14ac:dyDescent="0.25">
      <c r="A509">
        <v>2020</v>
      </c>
      <c r="B509" t="s">
        <v>42</v>
      </c>
      <c r="C509">
        <v>2022</v>
      </c>
      <c r="D509">
        <v>319.8</v>
      </c>
      <c r="E509">
        <v>9</v>
      </c>
      <c r="F509">
        <v>559159.93000000005</v>
      </c>
      <c r="G509">
        <v>455.14</v>
      </c>
      <c r="H509" s="2"/>
    </row>
    <row r="510" spans="1:8" hidden="1" x14ac:dyDescent="0.25">
      <c r="A510">
        <v>2020</v>
      </c>
      <c r="B510" t="s">
        <v>42</v>
      </c>
      <c r="C510">
        <v>2023</v>
      </c>
      <c r="D510">
        <v>1243.5</v>
      </c>
      <c r="E510">
        <v>21</v>
      </c>
      <c r="F510">
        <v>571044.06000000006</v>
      </c>
      <c r="G510">
        <v>459.61</v>
      </c>
      <c r="H510" s="2"/>
    </row>
    <row r="511" spans="1:8" hidden="1" x14ac:dyDescent="0.25">
      <c r="A511">
        <v>2020</v>
      </c>
      <c r="B511" t="s">
        <v>42</v>
      </c>
      <c r="C511">
        <v>2024</v>
      </c>
      <c r="D511">
        <v>1347.81</v>
      </c>
      <c r="E511">
        <v>27</v>
      </c>
      <c r="F511">
        <v>561638.28</v>
      </c>
      <c r="G511">
        <v>451.78</v>
      </c>
      <c r="H511" s="2"/>
    </row>
    <row r="512" spans="1:8" hidden="1" x14ac:dyDescent="0.25">
      <c r="A512">
        <v>2020</v>
      </c>
      <c r="B512" t="s">
        <v>43</v>
      </c>
      <c r="C512">
        <v>2019</v>
      </c>
      <c r="D512">
        <v>185.22</v>
      </c>
      <c r="E512">
        <v>7</v>
      </c>
      <c r="F512">
        <v>718606.91</v>
      </c>
      <c r="G512">
        <v>311.12</v>
      </c>
      <c r="H512" s="2">
        <f t="shared" ref="H512" si="83">SUM(E512:E517)</f>
        <v>91</v>
      </c>
    </row>
    <row r="513" spans="1:8" hidden="1" x14ac:dyDescent="0.25">
      <c r="A513">
        <v>2020</v>
      </c>
      <c r="B513" t="s">
        <v>43</v>
      </c>
      <c r="C513">
        <v>2020</v>
      </c>
      <c r="D513">
        <v>515.86</v>
      </c>
      <c r="E513">
        <v>12</v>
      </c>
      <c r="F513">
        <v>709744.34</v>
      </c>
      <c r="G513">
        <v>309.08</v>
      </c>
      <c r="H513" s="2"/>
    </row>
    <row r="514" spans="1:8" hidden="1" x14ac:dyDescent="0.25">
      <c r="A514">
        <v>2020</v>
      </c>
      <c r="B514" t="s">
        <v>43</v>
      </c>
      <c r="C514">
        <v>2021</v>
      </c>
      <c r="D514">
        <v>696.98</v>
      </c>
      <c r="E514">
        <v>20</v>
      </c>
      <c r="F514">
        <v>714330.22</v>
      </c>
      <c r="G514">
        <v>311.22000000000003</v>
      </c>
      <c r="H514" s="2"/>
    </row>
    <row r="515" spans="1:8" hidden="1" x14ac:dyDescent="0.25">
      <c r="A515">
        <v>2020</v>
      </c>
      <c r="B515" t="s">
        <v>43</v>
      </c>
      <c r="C515">
        <v>2022</v>
      </c>
      <c r="D515">
        <v>209.74</v>
      </c>
      <c r="E515">
        <v>7</v>
      </c>
      <c r="F515">
        <v>701573.1</v>
      </c>
      <c r="G515">
        <v>310.02999999999997</v>
      </c>
      <c r="H515" s="2"/>
    </row>
    <row r="516" spans="1:8" hidden="1" x14ac:dyDescent="0.25">
      <c r="A516">
        <v>2020</v>
      </c>
      <c r="B516" t="s">
        <v>43</v>
      </c>
      <c r="C516">
        <v>2023</v>
      </c>
      <c r="D516">
        <v>908.25</v>
      </c>
      <c r="E516">
        <v>21</v>
      </c>
      <c r="F516">
        <v>717029.79</v>
      </c>
      <c r="G516">
        <v>309.23</v>
      </c>
      <c r="H516" s="2"/>
    </row>
    <row r="517" spans="1:8" hidden="1" x14ac:dyDescent="0.25">
      <c r="A517">
        <v>2020</v>
      </c>
      <c r="B517" t="s">
        <v>43</v>
      </c>
      <c r="C517">
        <v>2024</v>
      </c>
      <c r="D517">
        <v>700.41</v>
      </c>
      <c r="E517">
        <v>24</v>
      </c>
      <c r="F517">
        <v>705251.91</v>
      </c>
      <c r="G517">
        <v>310.02999999999997</v>
      </c>
      <c r="H517" s="2"/>
    </row>
    <row r="518" spans="1:8" hidden="1" x14ac:dyDescent="0.25">
      <c r="A518">
        <v>2020</v>
      </c>
      <c r="B518" t="s">
        <v>44</v>
      </c>
      <c r="C518">
        <v>2019</v>
      </c>
      <c r="D518">
        <v>0</v>
      </c>
      <c r="E518">
        <v>0</v>
      </c>
      <c r="F518">
        <v>724300.1</v>
      </c>
      <c r="G518">
        <v>362.21</v>
      </c>
      <c r="H518" s="2">
        <f t="shared" ref="H518" si="84">SUM(E518:E523)</f>
        <v>31</v>
      </c>
    </row>
    <row r="519" spans="1:8" hidden="1" x14ac:dyDescent="0.25">
      <c r="A519">
        <v>2020</v>
      </c>
      <c r="B519" t="s">
        <v>44</v>
      </c>
      <c r="C519">
        <v>2020</v>
      </c>
      <c r="D519">
        <v>115.55</v>
      </c>
      <c r="E519">
        <v>5</v>
      </c>
      <c r="F519">
        <v>704955.34</v>
      </c>
      <c r="G519">
        <v>356.79</v>
      </c>
      <c r="H519" s="2"/>
    </row>
    <row r="520" spans="1:8" hidden="1" x14ac:dyDescent="0.25">
      <c r="A520">
        <v>2020</v>
      </c>
      <c r="B520" t="s">
        <v>44</v>
      </c>
      <c r="C520">
        <v>2021</v>
      </c>
      <c r="D520">
        <v>0</v>
      </c>
      <c r="E520">
        <v>0</v>
      </c>
      <c r="F520">
        <v>706047.45</v>
      </c>
      <c r="G520">
        <v>359.49</v>
      </c>
      <c r="H520" s="2"/>
    </row>
    <row r="521" spans="1:8" hidden="1" x14ac:dyDescent="0.25">
      <c r="A521">
        <v>2020</v>
      </c>
      <c r="B521" t="s">
        <v>44</v>
      </c>
      <c r="C521">
        <v>2022</v>
      </c>
      <c r="D521">
        <v>267.43</v>
      </c>
      <c r="E521">
        <v>6</v>
      </c>
      <c r="F521">
        <v>688921.66</v>
      </c>
      <c r="G521">
        <v>356.87</v>
      </c>
      <c r="H521" s="2"/>
    </row>
    <row r="522" spans="1:8" hidden="1" x14ac:dyDescent="0.25">
      <c r="A522">
        <v>2020</v>
      </c>
      <c r="B522" t="s">
        <v>44</v>
      </c>
      <c r="C522">
        <v>2023</v>
      </c>
      <c r="D522">
        <v>658.44</v>
      </c>
      <c r="E522">
        <v>11</v>
      </c>
      <c r="F522">
        <v>712188.04</v>
      </c>
      <c r="G522">
        <v>358.37</v>
      </c>
      <c r="H522" s="2"/>
    </row>
    <row r="523" spans="1:8" hidden="1" x14ac:dyDescent="0.25">
      <c r="A523">
        <v>2020</v>
      </c>
      <c r="B523" t="s">
        <v>44</v>
      </c>
      <c r="C523">
        <v>2024</v>
      </c>
      <c r="D523">
        <v>498.42</v>
      </c>
      <c r="E523">
        <v>9</v>
      </c>
      <c r="F523">
        <v>700718.92</v>
      </c>
      <c r="G523">
        <v>357.69</v>
      </c>
      <c r="H523" s="2"/>
    </row>
    <row r="524" spans="1:8" hidden="1" x14ac:dyDescent="0.25">
      <c r="A524">
        <v>2020</v>
      </c>
      <c r="B524" t="s">
        <v>45</v>
      </c>
      <c r="C524">
        <v>2019</v>
      </c>
      <c r="D524">
        <v>148.54</v>
      </c>
      <c r="E524">
        <v>7</v>
      </c>
      <c r="F524">
        <v>882489.28</v>
      </c>
      <c r="G524">
        <v>339.95</v>
      </c>
      <c r="H524" s="2">
        <f t="shared" ref="H524" si="85">SUM(E524:E529)</f>
        <v>100</v>
      </c>
    </row>
    <row r="525" spans="1:8" hidden="1" x14ac:dyDescent="0.25">
      <c r="A525">
        <v>2020</v>
      </c>
      <c r="B525" t="s">
        <v>45</v>
      </c>
      <c r="C525">
        <v>2020</v>
      </c>
      <c r="D525">
        <v>145.91</v>
      </c>
      <c r="E525">
        <v>8</v>
      </c>
      <c r="F525">
        <v>837479.96</v>
      </c>
      <c r="G525">
        <v>337.98</v>
      </c>
      <c r="H525" s="2"/>
    </row>
    <row r="526" spans="1:8" hidden="1" x14ac:dyDescent="0.25">
      <c r="A526">
        <v>2020</v>
      </c>
      <c r="B526" t="s">
        <v>45</v>
      </c>
      <c r="C526">
        <v>2021</v>
      </c>
      <c r="D526">
        <v>515.29</v>
      </c>
      <c r="E526">
        <v>12</v>
      </c>
      <c r="F526">
        <v>848544.97</v>
      </c>
      <c r="G526">
        <v>337.87</v>
      </c>
      <c r="H526" s="2"/>
    </row>
    <row r="527" spans="1:8" hidden="1" x14ac:dyDescent="0.25">
      <c r="A527">
        <v>2020</v>
      </c>
      <c r="B527" t="s">
        <v>45</v>
      </c>
      <c r="C527">
        <v>2022</v>
      </c>
      <c r="D527">
        <v>945.59</v>
      </c>
      <c r="E527">
        <v>21</v>
      </c>
      <c r="F527">
        <v>820531.42</v>
      </c>
      <c r="G527">
        <v>336.41</v>
      </c>
      <c r="H527" s="2"/>
    </row>
    <row r="528" spans="1:8" hidden="1" x14ac:dyDescent="0.25">
      <c r="A528">
        <v>2020</v>
      </c>
      <c r="B528" t="s">
        <v>45</v>
      </c>
      <c r="C528">
        <v>2023</v>
      </c>
      <c r="D528">
        <v>968.36</v>
      </c>
      <c r="E528">
        <v>24</v>
      </c>
      <c r="F528">
        <v>864261.97</v>
      </c>
      <c r="G528">
        <v>337.38</v>
      </c>
      <c r="H528" s="2"/>
    </row>
    <row r="529" spans="1:8" hidden="1" x14ac:dyDescent="0.25">
      <c r="A529">
        <v>2020</v>
      </c>
      <c r="B529" t="s">
        <v>45</v>
      </c>
      <c r="C529">
        <v>2024</v>
      </c>
      <c r="D529">
        <v>1021.15</v>
      </c>
      <c r="E529">
        <v>28</v>
      </c>
      <c r="F529">
        <v>832267.03</v>
      </c>
      <c r="G529">
        <v>334.57</v>
      </c>
      <c r="H529" s="2"/>
    </row>
    <row r="530" spans="1:8" hidden="1" x14ac:dyDescent="0.25">
      <c r="A530">
        <v>2020</v>
      </c>
      <c r="B530" t="s">
        <v>46</v>
      </c>
      <c r="C530">
        <v>2019</v>
      </c>
      <c r="D530">
        <v>0</v>
      </c>
      <c r="E530">
        <v>0</v>
      </c>
      <c r="F530">
        <v>765763.29</v>
      </c>
      <c r="G530">
        <v>392.76</v>
      </c>
      <c r="H530" s="2">
        <f t="shared" ref="H530" si="86">SUM(E530:E535)</f>
        <v>45</v>
      </c>
    </row>
    <row r="531" spans="1:8" hidden="1" x14ac:dyDescent="0.25">
      <c r="A531">
        <v>2020</v>
      </c>
      <c r="B531" t="s">
        <v>46</v>
      </c>
      <c r="C531">
        <v>2020</v>
      </c>
      <c r="D531">
        <v>253.53</v>
      </c>
      <c r="E531">
        <v>9</v>
      </c>
      <c r="F531">
        <v>731679.9</v>
      </c>
      <c r="G531">
        <v>386.39</v>
      </c>
      <c r="H531" s="2"/>
    </row>
    <row r="532" spans="1:8" hidden="1" x14ac:dyDescent="0.25">
      <c r="A532">
        <v>2020</v>
      </c>
      <c r="B532" t="s">
        <v>46</v>
      </c>
      <c r="C532">
        <v>2021</v>
      </c>
      <c r="D532">
        <v>1113.25</v>
      </c>
      <c r="E532">
        <v>19</v>
      </c>
      <c r="F532">
        <v>732855.99</v>
      </c>
      <c r="G532">
        <v>385.37</v>
      </c>
      <c r="H532" s="2"/>
    </row>
    <row r="533" spans="1:8" hidden="1" x14ac:dyDescent="0.25">
      <c r="A533">
        <v>2020</v>
      </c>
      <c r="B533" t="s">
        <v>46</v>
      </c>
      <c r="C533">
        <v>2022</v>
      </c>
      <c r="D533">
        <v>985.48</v>
      </c>
      <c r="E533">
        <v>17</v>
      </c>
      <c r="F533">
        <v>745607.77</v>
      </c>
      <c r="G533">
        <v>385.31</v>
      </c>
      <c r="H533" s="2"/>
    </row>
    <row r="534" spans="1:8" hidden="1" x14ac:dyDescent="0.25">
      <c r="A534">
        <v>2020</v>
      </c>
      <c r="B534" t="s">
        <v>46</v>
      </c>
      <c r="C534">
        <v>2023</v>
      </c>
      <c r="D534">
        <v>0</v>
      </c>
      <c r="E534">
        <v>0</v>
      </c>
      <c r="F534">
        <v>739948.12</v>
      </c>
      <c r="G534">
        <v>392.03</v>
      </c>
      <c r="H534" s="2"/>
    </row>
    <row r="535" spans="1:8" hidden="1" x14ac:dyDescent="0.25">
      <c r="A535">
        <v>2020</v>
      </c>
      <c r="B535" t="s">
        <v>46</v>
      </c>
      <c r="C535">
        <v>2024</v>
      </c>
      <c r="D535">
        <v>0</v>
      </c>
      <c r="E535">
        <v>0</v>
      </c>
      <c r="F535">
        <v>712416.91</v>
      </c>
      <c r="G535">
        <v>385.63</v>
      </c>
      <c r="H535" s="2"/>
    </row>
    <row r="536" spans="1:8" hidden="1" x14ac:dyDescent="0.25">
      <c r="A536">
        <v>2020</v>
      </c>
      <c r="B536" t="s">
        <v>47</v>
      </c>
      <c r="C536">
        <v>2019</v>
      </c>
      <c r="D536">
        <v>116.83</v>
      </c>
      <c r="E536">
        <v>2</v>
      </c>
      <c r="F536">
        <v>691641.49</v>
      </c>
      <c r="G536">
        <v>425.22</v>
      </c>
      <c r="H536" s="2">
        <f t="shared" ref="H536" si="87">SUM(E536:E541)</f>
        <v>57</v>
      </c>
    </row>
    <row r="537" spans="1:8" hidden="1" x14ac:dyDescent="0.25">
      <c r="A537">
        <v>2020</v>
      </c>
      <c r="B537" t="s">
        <v>47</v>
      </c>
      <c r="C537">
        <v>2020</v>
      </c>
      <c r="D537">
        <v>278.04000000000002</v>
      </c>
      <c r="E537">
        <v>5</v>
      </c>
      <c r="F537">
        <v>657616.03</v>
      </c>
      <c r="G537">
        <v>421.8</v>
      </c>
      <c r="H537" s="2"/>
    </row>
    <row r="538" spans="1:8" hidden="1" x14ac:dyDescent="0.25">
      <c r="A538">
        <v>2020</v>
      </c>
      <c r="B538" t="s">
        <v>47</v>
      </c>
      <c r="C538">
        <v>2021</v>
      </c>
      <c r="D538">
        <v>906.68</v>
      </c>
      <c r="E538">
        <v>16</v>
      </c>
      <c r="F538">
        <v>667170.57999999996</v>
      </c>
      <c r="G538">
        <v>421.85</v>
      </c>
      <c r="H538" s="2"/>
    </row>
    <row r="539" spans="1:8" hidden="1" x14ac:dyDescent="0.25">
      <c r="A539">
        <v>2020</v>
      </c>
      <c r="B539" t="s">
        <v>47</v>
      </c>
      <c r="C539">
        <v>2022</v>
      </c>
      <c r="D539">
        <v>1086.53</v>
      </c>
      <c r="E539">
        <v>18</v>
      </c>
      <c r="F539">
        <v>662295.16</v>
      </c>
      <c r="G539">
        <v>420.15</v>
      </c>
      <c r="H539" s="2"/>
    </row>
    <row r="540" spans="1:8" hidden="1" x14ac:dyDescent="0.25">
      <c r="A540">
        <v>2020</v>
      </c>
      <c r="B540" t="s">
        <v>47</v>
      </c>
      <c r="C540">
        <v>2023</v>
      </c>
      <c r="D540">
        <v>218.16</v>
      </c>
      <c r="E540">
        <v>5</v>
      </c>
      <c r="F540">
        <v>677878.64</v>
      </c>
      <c r="G540">
        <v>424.53</v>
      </c>
      <c r="H540" s="2"/>
    </row>
    <row r="541" spans="1:8" hidden="1" x14ac:dyDescent="0.25">
      <c r="A541">
        <v>2020</v>
      </c>
      <c r="B541" t="s">
        <v>47</v>
      </c>
      <c r="C541">
        <v>2024</v>
      </c>
      <c r="D541">
        <v>393.57</v>
      </c>
      <c r="E541">
        <v>11</v>
      </c>
      <c r="F541">
        <v>644219.18000000005</v>
      </c>
      <c r="G541">
        <v>415.83</v>
      </c>
      <c r="H541" s="2"/>
    </row>
    <row r="542" spans="1:8" hidden="1" x14ac:dyDescent="0.25">
      <c r="A542">
        <v>2020</v>
      </c>
      <c r="B542" t="s">
        <v>48</v>
      </c>
      <c r="C542">
        <v>2019</v>
      </c>
      <c r="D542">
        <v>1086.95</v>
      </c>
      <c r="E542">
        <v>21</v>
      </c>
      <c r="F542">
        <v>751724.76</v>
      </c>
      <c r="G542">
        <v>337.59</v>
      </c>
      <c r="H542" s="2">
        <f t="shared" ref="H542" si="88">SUM(E542:E547)</f>
        <v>138</v>
      </c>
    </row>
    <row r="543" spans="1:8" hidden="1" x14ac:dyDescent="0.25">
      <c r="A543">
        <v>2020</v>
      </c>
      <c r="B543" t="s">
        <v>48</v>
      </c>
      <c r="C543">
        <v>2020</v>
      </c>
      <c r="D543">
        <v>962.25</v>
      </c>
      <c r="E543">
        <v>23</v>
      </c>
      <c r="F543">
        <v>727545.29</v>
      </c>
      <c r="G543">
        <v>336.39</v>
      </c>
      <c r="H543" s="2"/>
    </row>
    <row r="544" spans="1:8" hidden="1" x14ac:dyDescent="0.25">
      <c r="A544">
        <v>2020</v>
      </c>
      <c r="B544" t="s">
        <v>48</v>
      </c>
      <c r="C544">
        <v>2021</v>
      </c>
      <c r="D544">
        <v>198.2</v>
      </c>
      <c r="E544">
        <v>14</v>
      </c>
      <c r="F544">
        <v>737207.38</v>
      </c>
      <c r="G544">
        <v>333.72</v>
      </c>
      <c r="H544" s="2"/>
    </row>
    <row r="545" spans="1:8" hidden="1" x14ac:dyDescent="0.25">
      <c r="A545">
        <v>2020</v>
      </c>
      <c r="B545" t="s">
        <v>48</v>
      </c>
      <c r="C545">
        <v>2022</v>
      </c>
      <c r="D545">
        <v>791.04</v>
      </c>
      <c r="E545">
        <v>24</v>
      </c>
      <c r="F545">
        <v>701728.86</v>
      </c>
      <c r="G545">
        <v>331.56</v>
      </c>
      <c r="H545" s="2"/>
    </row>
    <row r="546" spans="1:8" hidden="1" x14ac:dyDescent="0.25">
      <c r="A546">
        <v>2020</v>
      </c>
      <c r="B546" t="s">
        <v>48</v>
      </c>
      <c r="C546">
        <v>2023</v>
      </c>
      <c r="D546">
        <v>1106.58</v>
      </c>
      <c r="E546">
        <v>19</v>
      </c>
      <c r="F546">
        <v>732968.61</v>
      </c>
      <c r="G546">
        <v>337.76</v>
      </c>
      <c r="H546" s="2"/>
    </row>
    <row r="547" spans="1:8" hidden="1" x14ac:dyDescent="0.25">
      <c r="A547">
        <v>2020</v>
      </c>
      <c r="B547" t="s">
        <v>48</v>
      </c>
      <c r="C547">
        <v>2024</v>
      </c>
      <c r="D547">
        <v>1710.82</v>
      </c>
      <c r="E547">
        <v>37</v>
      </c>
      <c r="F547">
        <v>738948.04</v>
      </c>
      <c r="G547">
        <v>333.35</v>
      </c>
      <c r="H547" s="2"/>
    </row>
    <row r="548" spans="1:8" hidden="1" x14ac:dyDescent="0.25">
      <c r="A548">
        <v>2020</v>
      </c>
      <c r="B548" t="s">
        <v>49</v>
      </c>
      <c r="C548">
        <v>2019</v>
      </c>
      <c r="D548">
        <v>1103.1600000000001</v>
      </c>
      <c r="E548">
        <v>23</v>
      </c>
      <c r="F548">
        <v>678241.4</v>
      </c>
      <c r="G548">
        <v>342.17</v>
      </c>
      <c r="H548" s="2">
        <f t="shared" ref="H548" si="89">SUM(E548:E553)</f>
        <v>177</v>
      </c>
    </row>
    <row r="549" spans="1:8" hidden="1" x14ac:dyDescent="0.25">
      <c r="A549">
        <v>2020</v>
      </c>
      <c r="B549" t="s">
        <v>49</v>
      </c>
      <c r="C549">
        <v>2020</v>
      </c>
      <c r="D549">
        <v>700.72</v>
      </c>
      <c r="E549">
        <v>15</v>
      </c>
      <c r="F549">
        <v>659007.1</v>
      </c>
      <c r="G549">
        <v>343.57</v>
      </c>
      <c r="H549" s="2"/>
    </row>
    <row r="550" spans="1:8" hidden="1" x14ac:dyDescent="0.25">
      <c r="A550">
        <v>2020</v>
      </c>
      <c r="B550" t="s">
        <v>49</v>
      </c>
      <c r="C550">
        <v>2021</v>
      </c>
      <c r="D550">
        <v>827.27</v>
      </c>
      <c r="E550">
        <v>17</v>
      </c>
      <c r="F550">
        <v>666520.88</v>
      </c>
      <c r="G550">
        <v>341.76</v>
      </c>
      <c r="H550" s="2"/>
    </row>
    <row r="551" spans="1:8" hidden="1" x14ac:dyDescent="0.25">
      <c r="A551">
        <v>2020</v>
      </c>
      <c r="B551" t="s">
        <v>49</v>
      </c>
      <c r="C551">
        <v>2022</v>
      </c>
      <c r="D551">
        <v>1449.18</v>
      </c>
      <c r="E551">
        <v>39</v>
      </c>
      <c r="F551">
        <v>635537.1</v>
      </c>
      <c r="G551">
        <v>336.44</v>
      </c>
      <c r="H551" s="2"/>
    </row>
    <row r="552" spans="1:8" hidden="1" x14ac:dyDescent="0.25">
      <c r="A552">
        <v>2020</v>
      </c>
      <c r="B552" t="s">
        <v>49</v>
      </c>
      <c r="C552">
        <v>2023</v>
      </c>
      <c r="D552">
        <v>1384.61</v>
      </c>
      <c r="E552">
        <v>26</v>
      </c>
      <c r="F552">
        <v>667531.85</v>
      </c>
      <c r="G552">
        <v>342.12</v>
      </c>
      <c r="H552" s="2"/>
    </row>
    <row r="553" spans="1:8" hidden="1" x14ac:dyDescent="0.25">
      <c r="A553">
        <v>2020</v>
      </c>
      <c r="B553" t="s">
        <v>49</v>
      </c>
      <c r="C553">
        <v>2024</v>
      </c>
      <c r="D553">
        <v>2530.58</v>
      </c>
      <c r="E553">
        <v>57</v>
      </c>
      <c r="F553">
        <v>667037.51</v>
      </c>
      <c r="G553">
        <v>339.24</v>
      </c>
      <c r="H553" s="2"/>
    </row>
    <row r="554" spans="1:8" hidden="1" x14ac:dyDescent="0.25">
      <c r="A554">
        <v>2020</v>
      </c>
      <c r="B554" t="s">
        <v>50</v>
      </c>
      <c r="C554">
        <v>2019</v>
      </c>
      <c r="D554">
        <v>1114.45</v>
      </c>
      <c r="E554">
        <v>24</v>
      </c>
      <c r="F554">
        <v>549887.89</v>
      </c>
      <c r="G554">
        <v>490.84</v>
      </c>
      <c r="H554" s="2">
        <f t="shared" ref="H554" si="90">SUM(E554:E559)</f>
        <v>174</v>
      </c>
    </row>
    <row r="555" spans="1:8" hidden="1" x14ac:dyDescent="0.25">
      <c r="A555">
        <v>2020</v>
      </c>
      <c r="B555" t="s">
        <v>50</v>
      </c>
      <c r="C555">
        <v>2020</v>
      </c>
      <c r="D555">
        <v>631.07000000000005</v>
      </c>
      <c r="E555">
        <v>10</v>
      </c>
      <c r="F555">
        <v>526870.80000000005</v>
      </c>
      <c r="G555">
        <v>488.3</v>
      </c>
      <c r="H555" s="2"/>
    </row>
    <row r="556" spans="1:8" hidden="1" x14ac:dyDescent="0.25">
      <c r="A556">
        <v>2020</v>
      </c>
      <c r="B556" t="s">
        <v>50</v>
      </c>
      <c r="C556">
        <v>2021</v>
      </c>
      <c r="D556">
        <v>1542.98</v>
      </c>
      <c r="E556">
        <v>26</v>
      </c>
      <c r="F556">
        <v>528417.84</v>
      </c>
      <c r="G556">
        <v>485.29</v>
      </c>
      <c r="H556" s="2"/>
    </row>
    <row r="557" spans="1:8" hidden="1" x14ac:dyDescent="0.25">
      <c r="A557">
        <v>2020</v>
      </c>
      <c r="B557" t="s">
        <v>50</v>
      </c>
      <c r="C557">
        <v>2022</v>
      </c>
      <c r="D557">
        <v>2830.19</v>
      </c>
      <c r="E557">
        <v>56</v>
      </c>
      <c r="F557">
        <v>517621.15</v>
      </c>
      <c r="G557">
        <v>470.53</v>
      </c>
      <c r="H557" s="2"/>
    </row>
    <row r="558" spans="1:8" hidden="1" x14ac:dyDescent="0.25">
      <c r="A558">
        <v>2020</v>
      </c>
      <c r="B558" t="s">
        <v>50</v>
      </c>
      <c r="C558">
        <v>2023</v>
      </c>
      <c r="D558">
        <v>822.51</v>
      </c>
      <c r="E558">
        <v>17</v>
      </c>
      <c r="F558">
        <v>553260.28</v>
      </c>
      <c r="G558">
        <v>503.77</v>
      </c>
      <c r="H558" s="2"/>
    </row>
    <row r="559" spans="1:8" hidden="1" x14ac:dyDescent="0.25">
      <c r="A559">
        <v>2020</v>
      </c>
      <c r="B559" t="s">
        <v>50</v>
      </c>
      <c r="C559">
        <v>2024</v>
      </c>
      <c r="D559">
        <v>2283.64</v>
      </c>
      <c r="E559">
        <v>41</v>
      </c>
      <c r="F559">
        <v>521341.87</v>
      </c>
      <c r="G559">
        <v>481.89</v>
      </c>
      <c r="H559" s="2"/>
    </row>
    <row r="560" spans="1:8" hidden="1" x14ac:dyDescent="0.25">
      <c r="A560">
        <v>2020</v>
      </c>
      <c r="B560" t="s">
        <v>51</v>
      </c>
      <c r="C560">
        <v>2019</v>
      </c>
      <c r="D560">
        <v>958.86</v>
      </c>
      <c r="E560">
        <v>18</v>
      </c>
      <c r="F560">
        <v>691667.19</v>
      </c>
      <c r="G560">
        <v>450.43</v>
      </c>
      <c r="H560" s="2">
        <f t="shared" ref="H560" si="91">SUM(E560:E565)</f>
        <v>111</v>
      </c>
    </row>
    <row r="561" spans="1:8" hidden="1" x14ac:dyDescent="0.25">
      <c r="A561">
        <v>2020</v>
      </c>
      <c r="B561" t="s">
        <v>51</v>
      </c>
      <c r="C561">
        <v>2020</v>
      </c>
      <c r="D561">
        <v>435.76</v>
      </c>
      <c r="E561">
        <v>12</v>
      </c>
      <c r="F561">
        <v>655452.66</v>
      </c>
      <c r="G561">
        <v>446.09</v>
      </c>
      <c r="H561" s="2"/>
    </row>
    <row r="562" spans="1:8" hidden="1" x14ac:dyDescent="0.25">
      <c r="A562">
        <v>2020</v>
      </c>
      <c r="B562" t="s">
        <v>51</v>
      </c>
      <c r="C562">
        <v>2021</v>
      </c>
      <c r="D562">
        <v>313.07</v>
      </c>
      <c r="E562">
        <v>7</v>
      </c>
      <c r="F562">
        <v>662690.86</v>
      </c>
      <c r="G562">
        <v>447.76</v>
      </c>
      <c r="H562" s="2"/>
    </row>
    <row r="563" spans="1:8" hidden="1" x14ac:dyDescent="0.25">
      <c r="A563">
        <v>2020</v>
      </c>
      <c r="B563" t="s">
        <v>51</v>
      </c>
      <c r="C563">
        <v>2022</v>
      </c>
      <c r="D563">
        <v>2605.96</v>
      </c>
      <c r="E563">
        <v>47</v>
      </c>
      <c r="F563">
        <v>636301.07999999996</v>
      </c>
      <c r="G563">
        <v>433.94</v>
      </c>
      <c r="H563" s="2"/>
    </row>
    <row r="564" spans="1:8" hidden="1" x14ac:dyDescent="0.25">
      <c r="A564">
        <v>2020</v>
      </c>
      <c r="B564" t="s">
        <v>51</v>
      </c>
      <c r="C564">
        <v>2023</v>
      </c>
      <c r="D564">
        <v>186.74</v>
      </c>
      <c r="E564">
        <v>3</v>
      </c>
      <c r="F564">
        <v>689181.95</v>
      </c>
      <c r="G564">
        <v>454.47</v>
      </c>
      <c r="H564" s="2"/>
    </row>
    <row r="565" spans="1:8" hidden="1" x14ac:dyDescent="0.25">
      <c r="A565">
        <v>2020</v>
      </c>
      <c r="B565" t="s">
        <v>51</v>
      </c>
      <c r="C565">
        <v>2024</v>
      </c>
      <c r="D565">
        <v>1311.45</v>
      </c>
      <c r="E565">
        <v>24</v>
      </c>
      <c r="F565">
        <v>647169.92000000004</v>
      </c>
      <c r="G565">
        <v>437.67</v>
      </c>
      <c r="H565" s="2"/>
    </row>
    <row r="566" spans="1:8" hidden="1" x14ac:dyDescent="0.25">
      <c r="A566">
        <v>2020</v>
      </c>
      <c r="B566" t="s">
        <v>52</v>
      </c>
      <c r="C566">
        <v>2019</v>
      </c>
      <c r="D566">
        <v>214.24</v>
      </c>
      <c r="E566">
        <v>6</v>
      </c>
      <c r="F566">
        <v>833078.59</v>
      </c>
      <c r="G566">
        <v>372.82</v>
      </c>
      <c r="H566" s="2">
        <f t="shared" ref="H566" si="92">SUM(E566:E571)</f>
        <v>85</v>
      </c>
    </row>
    <row r="567" spans="1:8" hidden="1" x14ac:dyDescent="0.25">
      <c r="A567">
        <v>2020</v>
      </c>
      <c r="B567" t="s">
        <v>52</v>
      </c>
      <c r="C567">
        <v>2020</v>
      </c>
      <c r="D567">
        <v>378.58</v>
      </c>
      <c r="E567">
        <v>8</v>
      </c>
      <c r="F567">
        <v>797502.36</v>
      </c>
      <c r="G567">
        <v>368.4</v>
      </c>
      <c r="H567" s="2"/>
    </row>
    <row r="568" spans="1:8" hidden="1" x14ac:dyDescent="0.25">
      <c r="A568">
        <v>2020</v>
      </c>
      <c r="B568" t="s">
        <v>52</v>
      </c>
      <c r="C568">
        <v>2021</v>
      </c>
      <c r="D568">
        <v>803.98</v>
      </c>
      <c r="E568">
        <v>17</v>
      </c>
      <c r="F568">
        <v>817170.59</v>
      </c>
      <c r="G568">
        <v>370.58</v>
      </c>
      <c r="H568" s="2"/>
    </row>
    <row r="569" spans="1:8" hidden="1" x14ac:dyDescent="0.25">
      <c r="A569">
        <v>2020</v>
      </c>
      <c r="B569" t="s">
        <v>52</v>
      </c>
      <c r="C569">
        <v>2022</v>
      </c>
      <c r="D569">
        <v>337.01</v>
      </c>
      <c r="E569">
        <v>9</v>
      </c>
      <c r="F569">
        <v>805135.09</v>
      </c>
      <c r="G569">
        <v>367.07</v>
      </c>
      <c r="H569" s="2"/>
    </row>
    <row r="570" spans="1:8" hidden="1" x14ac:dyDescent="0.25">
      <c r="A570">
        <v>2020</v>
      </c>
      <c r="B570" t="s">
        <v>52</v>
      </c>
      <c r="C570">
        <v>2023</v>
      </c>
      <c r="D570">
        <v>878.13</v>
      </c>
      <c r="E570">
        <v>19</v>
      </c>
      <c r="F570">
        <v>834807.04</v>
      </c>
      <c r="G570">
        <v>371.73</v>
      </c>
      <c r="H570" s="2"/>
    </row>
    <row r="571" spans="1:8" hidden="1" x14ac:dyDescent="0.25">
      <c r="A571">
        <v>2020</v>
      </c>
      <c r="B571" t="s">
        <v>52</v>
      </c>
      <c r="C571">
        <v>2024</v>
      </c>
      <c r="D571">
        <v>1472.52</v>
      </c>
      <c r="E571">
        <v>26</v>
      </c>
      <c r="F571">
        <v>804543.56</v>
      </c>
      <c r="G571">
        <v>366.8</v>
      </c>
      <c r="H571" s="2"/>
    </row>
    <row r="572" spans="1:8" hidden="1" x14ac:dyDescent="0.25">
      <c r="A572">
        <v>2020</v>
      </c>
      <c r="B572" t="s">
        <v>53</v>
      </c>
      <c r="C572">
        <v>2019</v>
      </c>
      <c r="D572">
        <v>401.09</v>
      </c>
      <c r="E572">
        <v>10</v>
      </c>
      <c r="F572">
        <v>721324.82</v>
      </c>
      <c r="G572">
        <v>518.54999999999995</v>
      </c>
      <c r="H572" s="2">
        <f t="shared" ref="H572" si="93">SUM(E572:E577)</f>
        <v>59</v>
      </c>
    </row>
    <row r="573" spans="1:8" hidden="1" x14ac:dyDescent="0.25">
      <c r="A573">
        <v>2020</v>
      </c>
      <c r="B573" t="s">
        <v>53</v>
      </c>
      <c r="C573">
        <v>2020</v>
      </c>
      <c r="D573">
        <v>230.05</v>
      </c>
      <c r="E573">
        <v>5</v>
      </c>
      <c r="F573">
        <v>687019.14</v>
      </c>
      <c r="G573">
        <v>513.09</v>
      </c>
      <c r="H573" s="2"/>
    </row>
    <row r="574" spans="1:8" hidden="1" x14ac:dyDescent="0.25">
      <c r="A574">
        <v>2020</v>
      </c>
      <c r="B574" t="s">
        <v>53</v>
      </c>
      <c r="C574">
        <v>2021</v>
      </c>
      <c r="D574">
        <v>697.13</v>
      </c>
      <c r="E574">
        <v>13</v>
      </c>
      <c r="F574">
        <v>701980.18</v>
      </c>
      <c r="G574">
        <v>514.52</v>
      </c>
      <c r="H574" s="2"/>
    </row>
    <row r="575" spans="1:8" hidden="1" x14ac:dyDescent="0.25">
      <c r="A575">
        <v>2020</v>
      </c>
      <c r="B575" t="s">
        <v>53</v>
      </c>
      <c r="C575">
        <v>2022</v>
      </c>
      <c r="D575">
        <v>239.51</v>
      </c>
      <c r="E575">
        <v>5</v>
      </c>
      <c r="F575">
        <v>688061.19</v>
      </c>
      <c r="G575">
        <v>506.89</v>
      </c>
      <c r="H575" s="2"/>
    </row>
    <row r="576" spans="1:8" hidden="1" x14ac:dyDescent="0.25">
      <c r="A576">
        <v>2020</v>
      </c>
      <c r="B576" t="s">
        <v>53</v>
      </c>
      <c r="C576">
        <v>2023</v>
      </c>
      <c r="D576">
        <v>116.5</v>
      </c>
      <c r="E576">
        <v>2</v>
      </c>
      <c r="F576">
        <v>718313.89</v>
      </c>
      <c r="G576">
        <v>521.33000000000004</v>
      </c>
      <c r="H576" s="2"/>
    </row>
    <row r="577" spans="1:8" hidden="1" x14ac:dyDescent="0.25">
      <c r="A577">
        <v>2020</v>
      </c>
      <c r="B577" t="s">
        <v>53</v>
      </c>
      <c r="C577">
        <v>2024</v>
      </c>
      <c r="D577">
        <v>1357.33</v>
      </c>
      <c r="E577">
        <v>24</v>
      </c>
      <c r="F577">
        <v>677382.92</v>
      </c>
      <c r="G577">
        <v>506.19</v>
      </c>
      <c r="H577" s="2"/>
    </row>
    <row r="578" spans="1:8" hidden="1" x14ac:dyDescent="0.25">
      <c r="A578">
        <v>2021</v>
      </c>
      <c r="B578" t="s">
        <v>7</v>
      </c>
      <c r="C578">
        <v>2019</v>
      </c>
      <c r="D578">
        <v>122.51</v>
      </c>
      <c r="E578">
        <v>4</v>
      </c>
      <c r="F578">
        <v>707408.09</v>
      </c>
      <c r="G578">
        <v>458.22</v>
      </c>
      <c r="H578" s="2">
        <f t="shared" ref="H578" si="94">SUM(E578:E583)</f>
        <v>138</v>
      </c>
    </row>
    <row r="579" spans="1:8" hidden="1" x14ac:dyDescent="0.25">
      <c r="A579">
        <v>2021</v>
      </c>
      <c r="B579" t="s">
        <v>7</v>
      </c>
      <c r="C579">
        <v>2020</v>
      </c>
      <c r="D579">
        <v>1129.8699999999999</v>
      </c>
      <c r="E579">
        <v>26</v>
      </c>
      <c r="F579">
        <v>666347.85</v>
      </c>
      <c r="G579">
        <v>445.75</v>
      </c>
      <c r="H579" s="2"/>
    </row>
    <row r="580" spans="1:8" hidden="1" x14ac:dyDescent="0.25">
      <c r="A580">
        <v>2021</v>
      </c>
      <c r="B580" t="s">
        <v>7</v>
      </c>
      <c r="C580">
        <v>2021</v>
      </c>
      <c r="D580">
        <v>366.3</v>
      </c>
      <c r="E580">
        <v>8</v>
      </c>
      <c r="F580">
        <v>696283.3</v>
      </c>
      <c r="G580">
        <v>448.24</v>
      </c>
      <c r="H580" s="2"/>
    </row>
    <row r="581" spans="1:8" hidden="1" x14ac:dyDescent="0.25">
      <c r="A581">
        <v>2021</v>
      </c>
      <c r="B581" t="s">
        <v>7</v>
      </c>
      <c r="C581">
        <v>2022</v>
      </c>
      <c r="D581">
        <v>2154.69</v>
      </c>
      <c r="E581">
        <v>42</v>
      </c>
      <c r="F581">
        <v>669930.64</v>
      </c>
      <c r="G581">
        <v>443.32</v>
      </c>
      <c r="H581" s="2"/>
    </row>
    <row r="582" spans="1:8" hidden="1" x14ac:dyDescent="0.25">
      <c r="A582">
        <v>2021</v>
      </c>
      <c r="B582" t="s">
        <v>7</v>
      </c>
      <c r="C582">
        <v>2023</v>
      </c>
      <c r="D582">
        <v>1045.82</v>
      </c>
      <c r="E582">
        <v>18</v>
      </c>
      <c r="F582">
        <v>686870.23</v>
      </c>
      <c r="G582">
        <v>456.45</v>
      </c>
      <c r="H582" s="2"/>
    </row>
    <row r="583" spans="1:8" hidden="1" x14ac:dyDescent="0.25">
      <c r="A583">
        <v>2021</v>
      </c>
      <c r="B583" t="s">
        <v>7</v>
      </c>
      <c r="C583">
        <v>2024</v>
      </c>
      <c r="D583">
        <v>1660.84</v>
      </c>
      <c r="E583">
        <v>40</v>
      </c>
      <c r="F583">
        <v>693502.22</v>
      </c>
      <c r="G583">
        <v>443.41</v>
      </c>
      <c r="H583" s="2"/>
    </row>
    <row r="584" spans="1:8" hidden="1" x14ac:dyDescent="0.25">
      <c r="A584">
        <v>2021</v>
      </c>
      <c r="B584" t="s">
        <v>8</v>
      </c>
      <c r="C584">
        <v>2019</v>
      </c>
      <c r="D584">
        <v>137.41999999999999</v>
      </c>
      <c r="E584">
        <v>4</v>
      </c>
      <c r="F584">
        <v>777447.09</v>
      </c>
      <c r="G584">
        <v>495.97</v>
      </c>
      <c r="H584" s="2">
        <f t="shared" ref="H584" si="95">SUM(E584:E589)</f>
        <v>67</v>
      </c>
    </row>
    <row r="585" spans="1:8" hidden="1" x14ac:dyDescent="0.25">
      <c r="A585">
        <v>2021</v>
      </c>
      <c r="B585" t="s">
        <v>8</v>
      </c>
      <c r="C585">
        <v>2020</v>
      </c>
      <c r="D585">
        <v>732.24</v>
      </c>
      <c r="E585">
        <v>17</v>
      </c>
      <c r="F585">
        <v>730639.26</v>
      </c>
      <c r="G585">
        <v>486.71</v>
      </c>
      <c r="H585" s="2"/>
    </row>
    <row r="586" spans="1:8" hidden="1" x14ac:dyDescent="0.25">
      <c r="A586">
        <v>2021</v>
      </c>
      <c r="B586" t="s">
        <v>8</v>
      </c>
      <c r="C586">
        <v>2021</v>
      </c>
      <c r="D586">
        <v>263.02</v>
      </c>
      <c r="E586">
        <v>6</v>
      </c>
      <c r="F586">
        <v>749138.99</v>
      </c>
      <c r="G586">
        <v>491.96</v>
      </c>
      <c r="H586" s="2"/>
    </row>
    <row r="587" spans="1:8" hidden="1" x14ac:dyDescent="0.25">
      <c r="A587">
        <v>2021</v>
      </c>
      <c r="B587" t="s">
        <v>8</v>
      </c>
      <c r="C587">
        <v>2022</v>
      </c>
      <c r="D587">
        <v>872.28</v>
      </c>
      <c r="E587">
        <v>18</v>
      </c>
      <c r="F587">
        <v>710450.62</v>
      </c>
      <c r="G587">
        <v>483.41</v>
      </c>
      <c r="H587" s="2"/>
    </row>
    <row r="588" spans="1:8" hidden="1" x14ac:dyDescent="0.25">
      <c r="A588">
        <v>2021</v>
      </c>
      <c r="B588" t="s">
        <v>8</v>
      </c>
      <c r="C588">
        <v>2023</v>
      </c>
      <c r="D588">
        <v>531.85</v>
      </c>
      <c r="E588">
        <v>11</v>
      </c>
      <c r="F588">
        <v>743494.99</v>
      </c>
      <c r="G588">
        <v>494.35</v>
      </c>
      <c r="H588" s="2"/>
    </row>
    <row r="589" spans="1:8" hidden="1" x14ac:dyDescent="0.25">
      <c r="A589">
        <v>2021</v>
      </c>
      <c r="B589" t="s">
        <v>8</v>
      </c>
      <c r="C589">
        <v>2024</v>
      </c>
      <c r="D589">
        <v>483.32</v>
      </c>
      <c r="E589">
        <v>11</v>
      </c>
      <c r="F589">
        <v>756627.77</v>
      </c>
      <c r="G589">
        <v>488.89</v>
      </c>
      <c r="H589" s="2"/>
    </row>
    <row r="590" spans="1:8" hidden="1" x14ac:dyDescent="0.25">
      <c r="A590">
        <v>2021</v>
      </c>
      <c r="B590" t="s">
        <v>9</v>
      </c>
      <c r="C590">
        <v>2019</v>
      </c>
      <c r="D590">
        <v>0</v>
      </c>
      <c r="E590">
        <v>0</v>
      </c>
      <c r="F590">
        <v>970675.32</v>
      </c>
      <c r="G590">
        <v>569.46</v>
      </c>
      <c r="H590" s="2">
        <f t="shared" ref="H590" si="96">SUM(E590:E595)</f>
        <v>55</v>
      </c>
    </row>
    <row r="591" spans="1:8" hidden="1" x14ac:dyDescent="0.25">
      <c r="A591">
        <v>2021</v>
      </c>
      <c r="B591" t="s">
        <v>9</v>
      </c>
      <c r="C591">
        <v>2020</v>
      </c>
      <c r="D591">
        <v>246.73</v>
      </c>
      <c r="E591">
        <v>6</v>
      </c>
      <c r="F591">
        <v>934660.54</v>
      </c>
      <c r="G591">
        <v>563.66999999999996</v>
      </c>
      <c r="H591" s="2"/>
    </row>
    <row r="592" spans="1:8" hidden="1" x14ac:dyDescent="0.25">
      <c r="A592">
        <v>2021</v>
      </c>
      <c r="B592" t="s">
        <v>9</v>
      </c>
      <c r="C592">
        <v>2021</v>
      </c>
      <c r="D592">
        <v>816.55</v>
      </c>
      <c r="E592">
        <v>17</v>
      </c>
      <c r="F592">
        <v>923530.3</v>
      </c>
      <c r="G592">
        <v>552.13</v>
      </c>
      <c r="H592" s="2"/>
    </row>
    <row r="593" spans="1:8" hidden="1" x14ac:dyDescent="0.25">
      <c r="A593">
        <v>2021</v>
      </c>
      <c r="B593" t="s">
        <v>9</v>
      </c>
      <c r="C593">
        <v>2022</v>
      </c>
      <c r="D593">
        <v>1026.93</v>
      </c>
      <c r="E593">
        <v>21</v>
      </c>
      <c r="F593">
        <v>880967.88</v>
      </c>
      <c r="G593">
        <v>553.11</v>
      </c>
      <c r="H593" s="2"/>
    </row>
    <row r="594" spans="1:8" hidden="1" x14ac:dyDescent="0.25">
      <c r="A594">
        <v>2021</v>
      </c>
      <c r="B594" t="s">
        <v>9</v>
      </c>
      <c r="C594">
        <v>2023</v>
      </c>
      <c r="D594">
        <v>675.72</v>
      </c>
      <c r="E594">
        <v>11</v>
      </c>
      <c r="F594">
        <v>911788.15</v>
      </c>
      <c r="G594">
        <v>559.75</v>
      </c>
      <c r="H594" s="2"/>
    </row>
    <row r="595" spans="1:8" hidden="1" x14ac:dyDescent="0.25">
      <c r="A595">
        <v>2021</v>
      </c>
      <c r="B595" t="s">
        <v>9</v>
      </c>
      <c r="C595">
        <v>2024</v>
      </c>
      <c r="D595">
        <v>0</v>
      </c>
      <c r="E595">
        <v>0</v>
      </c>
      <c r="F595">
        <v>967314.53</v>
      </c>
      <c r="G595">
        <v>562.79</v>
      </c>
      <c r="H595" s="2"/>
    </row>
    <row r="596" spans="1:8" hidden="1" x14ac:dyDescent="0.25">
      <c r="A596">
        <v>2021</v>
      </c>
      <c r="B596" t="s">
        <v>10</v>
      </c>
      <c r="C596">
        <v>2019</v>
      </c>
      <c r="D596">
        <v>383.77</v>
      </c>
      <c r="E596">
        <v>10</v>
      </c>
      <c r="F596">
        <v>768249.54</v>
      </c>
      <c r="G596">
        <v>406.6</v>
      </c>
      <c r="H596" s="2">
        <f t="shared" ref="H596" si="97">SUM(E596:E601)</f>
        <v>132</v>
      </c>
    </row>
    <row r="597" spans="1:8" hidden="1" x14ac:dyDescent="0.25">
      <c r="A597">
        <v>2021</v>
      </c>
      <c r="B597" t="s">
        <v>10</v>
      </c>
      <c r="C597">
        <v>2020</v>
      </c>
      <c r="D597">
        <v>2104.09</v>
      </c>
      <c r="E597">
        <v>42</v>
      </c>
      <c r="F597">
        <v>742342.67</v>
      </c>
      <c r="G597">
        <v>399.61</v>
      </c>
      <c r="H597" s="2"/>
    </row>
    <row r="598" spans="1:8" hidden="1" x14ac:dyDescent="0.25">
      <c r="A598">
        <v>2021</v>
      </c>
      <c r="B598" t="s">
        <v>10</v>
      </c>
      <c r="C598">
        <v>2021</v>
      </c>
      <c r="D598">
        <v>223.65</v>
      </c>
      <c r="E598">
        <v>6</v>
      </c>
      <c r="F598">
        <v>763794.06</v>
      </c>
      <c r="G598">
        <v>409.23</v>
      </c>
      <c r="H598" s="2"/>
    </row>
    <row r="599" spans="1:8" hidden="1" x14ac:dyDescent="0.25">
      <c r="A599">
        <v>2021</v>
      </c>
      <c r="B599" t="s">
        <v>10</v>
      </c>
      <c r="C599">
        <v>2022</v>
      </c>
      <c r="D599">
        <v>858.18</v>
      </c>
      <c r="E599">
        <v>17</v>
      </c>
      <c r="F599">
        <v>730156.45</v>
      </c>
      <c r="G599">
        <v>404.19</v>
      </c>
      <c r="H599" s="2"/>
    </row>
    <row r="600" spans="1:8" hidden="1" x14ac:dyDescent="0.25">
      <c r="A600">
        <v>2021</v>
      </c>
      <c r="B600" t="s">
        <v>10</v>
      </c>
      <c r="C600">
        <v>2023</v>
      </c>
      <c r="D600">
        <v>1515.21</v>
      </c>
      <c r="E600">
        <v>23</v>
      </c>
      <c r="F600">
        <v>761816.57</v>
      </c>
      <c r="G600">
        <v>406.74</v>
      </c>
      <c r="H600" s="2"/>
    </row>
    <row r="601" spans="1:8" hidden="1" x14ac:dyDescent="0.25">
      <c r="A601">
        <v>2021</v>
      </c>
      <c r="B601" t="s">
        <v>10</v>
      </c>
      <c r="C601">
        <v>2024</v>
      </c>
      <c r="D601">
        <v>1502.67</v>
      </c>
      <c r="E601">
        <v>34</v>
      </c>
      <c r="F601">
        <v>743986.12</v>
      </c>
      <c r="G601">
        <v>403.36</v>
      </c>
      <c r="H601" s="2"/>
    </row>
    <row r="602" spans="1:8" hidden="1" x14ac:dyDescent="0.25">
      <c r="A602">
        <v>2021</v>
      </c>
      <c r="B602" t="s">
        <v>11</v>
      </c>
      <c r="C602">
        <v>2019</v>
      </c>
      <c r="D602">
        <v>524.89</v>
      </c>
      <c r="E602">
        <v>16</v>
      </c>
      <c r="F602">
        <v>723361.52</v>
      </c>
      <c r="G602">
        <v>466.75</v>
      </c>
      <c r="H602" s="2">
        <f t="shared" ref="H602" si="98">SUM(E602:E607)</f>
        <v>124</v>
      </c>
    </row>
    <row r="603" spans="1:8" hidden="1" x14ac:dyDescent="0.25">
      <c r="A603">
        <v>2021</v>
      </c>
      <c r="B603" t="s">
        <v>11</v>
      </c>
      <c r="C603">
        <v>2020</v>
      </c>
      <c r="D603">
        <v>2100.21</v>
      </c>
      <c r="E603">
        <v>45</v>
      </c>
      <c r="F603">
        <v>694274.83</v>
      </c>
      <c r="G603">
        <v>459.15</v>
      </c>
      <c r="H603" s="2"/>
    </row>
    <row r="604" spans="1:8" hidden="1" x14ac:dyDescent="0.25">
      <c r="A604">
        <v>2021</v>
      </c>
      <c r="B604" t="s">
        <v>11</v>
      </c>
      <c r="C604">
        <v>2021</v>
      </c>
      <c r="D604">
        <v>230.82</v>
      </c>
      <c r="E604">
        <v>5</v>
      </c>
      <c r="F604">
        <v>713150.18</v>
      </c>
      <c r="G604">
        <v>469.37</v>
      </c>
      <c r="H604" s="2"/>
    </row>
    <row r="605" spans="1:8" hidden="1" x14ac:dyDescent="0.25">
      <c r="A605">
        <v>2021</v>
      </c>
      <c r="B605" t="s">
        <v>11</v>
      </c>
      <c r="C605">
        <v>2022</v>
      </c>
      <c r="D605">
        <v>817.07</v>
      </c>
      <c r="E605">
        <v>15</v>
      </c>
      <c r="F605">
        <v>679808.94</v>
      </c>
      <c r="G605">
        <v>462.09</v>
      </c>
      <c r="H605" s="2"/>
    </row>
    <row r="606" spans="1:8" hidden="1" x14ac:dyDescent="0.25">
      <c r="A606">
        <v>2021</v>
      </c>
      <c r="B606" t="s">
        <v>11</v>
      </c>
      <c r="C606">
        <v>2023</v>
      </c>
      <c r="D606">
        <v>1049.95</v>
      </c>
      <c r="E606">
        <v>17</v>
      </c>
      <c r="F606">
        <v>710320.85</v>
      </c>
      <c r="G606">
        <v>465.11</v>
      </c>
      <c r="H606" s="2"/>
    </row>
    <row r="607" spans="1:8" hidden="1" x14ac:dyDescent="0.25">
      <c r="A607">
        <v>2021</v>
      </c>
      <c r="B607" t="s">
        <v>11</v>
      </c>
      <c r="C607">
        <v>2024</v>
      </c>
      <c r="D607">
        <v>1047.8699999999999</v>
      </c>
      <c r="E607">
        <v>26</v>
      </c>
      <c r="F607">
        <v>701544.93</v>
      </c>
      <c r="G607">
        <v>463.69</v>
      </c>
      <c r="H607" s="2"/>
    </row>
    <row r="608" spans="1:8" hidden="1" x14ac:dyDescent="0.25">
      <c r="A608">
        <v>2021</v>
      </c>
      <c r="B608" t="s">
        <v>12</v>
      </c>
      <c r="C608">
        <v>2019</v>
      </c>
      <c r="D608">
        <v>755.13</v>
      </c>
      <c r="E608">
        <v>19</v>
      </c>
      <c r="F608">
        <v>694648.43</v>
      </c>
      <c r="G608">
        <v>371.73</v>
      </c>
      <c r="H608" s="2">
        <f t="shared" ref="H608" si="99">SUM(E608:E613)</f>
        <v>108</v>
      </c>
    </row>
    <row r="609" spans="1:8" hidden="1" x14ac:dyDescent="0.25">
      <c r="A609">
        <v>2021</v>
      </c>
      <c r="B609" t="s">
        <v>12</v>
      </c>
      <c r="C609">
        <v>2020</v>
      </c>
      <c r="D609">
        <v>1449.48</v>
      </c>
      <c r="E609">
        <v>37</v>
      </c>
      <c r="F609">
        <v>669760.9</v>
      </c>
      <c r="G609">
        <v>364.78</v>
      </c>
      <c r="H609" s="2"/>
    </row>
    <row r="610" spans="1:8" hidden="1" x14ac:dyDescent="0.25">
      <c r="A610">
        <v>2021</v>
      </c>
      <c r="B610" t="s">
        <v>12</v>
      </c>
      <c r="C610">
        <v>2021</v>
      </c>
      <c r="D610">
        <v>105.96</v>
      </c>
      <c r="E610">
        <v>4</v>
      </c>
      <c r="F610">
        <v>683034.84</v>
      </c>
      <c r="G610">
        <v>369.18</v>
      </c>
      <c r="H610" s="2"/>
    </row>
    <row r="611" spans="1:8" hidden="1" x14ac:dyDescent="0.25">
      <c r="A611">
        <v>2021</v>
      </c>
      <c r="B611" t="s">
        <v>12</v>
      </c>
      <c r="C611">
        <v>2022</v>
      </c>
      <c r="D611">
        <v>444.49</v>
      </c>
      <c r="E611">
        <v>8</v>
      </c>
      <c r="F611">
        <v>651559.21</v>
      </c>
      <c r="G611">
        <v>365.39</v>
      </c>
      <c r="H611" s="2"/>
    </row>
    <row r="612" spans="1:8" hidden="1" x14ac:dyDescent="0.25">
      <c r="A612">
        <v>2021</v>
      </c>
      <c r="B612" t="s">
        <v>12</v>
      </c>
      <c r="C612">
        <v>2023</v>
      </c>
      <c r="D612">
        <v>747.86</v>
      </c>
      <c r="E612">
        <v>15</v>
      </c>
      <c r="F612">
        <v>687398.71</v>
      </c>
      <c r="G612">
        <v>369.13</v>
      </c>
      <c r="H612" s="2"/>
    </row>
    <row r="613" spans="1:8" hidden="1" x14ac:dyDescent="0.25">
      <c r="A613">
        <v>2021</v>
      </c>
      <c r="B613" t="s">
        <v>12</v>
      </c>
      <c r="C613">
        <v>2024</v>
      </c>
      <c r="D613">
        <v>1187.1600000000001</v>
      </c>
      <c r="E613">
        <v>25</v>
      </c>
      <c r="F613">
        <v>687211.86</v>
      </c>
      <c r="G613">
        <v>368.69</v>
      </c>
      <c r="H613" s="2"/>
    </row>
    <row r="614" spans="1:8" hidden="1" x14ac:dyDescent="0.25">
      <c r="A614">
        <v>2021</v>
      </c>
      <c r="B614" t="s">
        <v>13</v>
      </c>
      <c r="C614">
        <v>2019</v>
      </c>
      <c r="D614">
        <v>746.56</v>
      </c>
      <c r="E614">
        <v>15</v>
      </c>
      <c r="F614">
        <v>701427.38</v>
      </c>
      <c r="G614">
        <v>353.3</v>
      </c>
      <c r="H614" s="2">
        <f t="shared" ref="H614" si="100">SUM(E614:E619)</f>
        <v>102</v>
      </c>
    </row>
    <row r="615" spans="1:8" hidden="1" x14ac:dyDescent="0.25">
      <c r="A615">
        <v>2021</v>
      </c>
      <c r="B615" t="s">
        <v>13</v>
      </c>
      <c r="C615">
        <v>2020</v>
      </c>
      <c r="D615">
        <v>947.28</v>
      </c>
      <c r="E615">
        <v>24</v>
      </c>
      <c r="F615">
        <v>676501.03</v>
      </c>
      <c r="G615">
        <v>347.62</v>
      </c>
      <c r="H615" s="2"/>
    </row>
    <row r="616" spans="1:8" hidden="1" x14ac:dyDescent="0.25">
      <c r="A616">
        <v>2021</v>
      </c>
      <c r="B616" t="s">
        <v>13</v>
      </c>
      <c r="C616">
        <v>2021</v>
      </c>
      <c r="D616">
        <v>128.27000000000001</v>
      </c>
      <c r="E616">
        <v>6</v>
      </c>
      <c r="F616">
        <v>689187.83</v>
      </c>
      <c r="G616">
        <v>350.48</v>
      </c>
      <c r="H616" s="2"/>
    </row>
    <row r="617" spans="1:8" hidden="1" x14ac:dyDescent="0.25">
      <c r="A617">
        <v>2021</v>
      </c>
      <c r="B617" t="s">
        <v>13</v>
      </c>
      <c r="C617">
        <v>2022</v>
      </c>
      <c r="D617">
        <v>708.27</v>
      </c>
      <c r="E617">
        <v>16</v>
      </c>
      <c r="F617">
        <v>655385.63</v>
      </c>
      <c r="G617">
        <v>347.71</v>
      </c>
      <c r="H617" s="2"/>
    </row>
    <row r="618" spans="1:8" hidden="1" x14ac:dyDescent="0.25">
      <c r="A618">
        <v>2021</v>
      </c>
      <c r="B618" t="s">
        <v>13</v>
      </c>
      <c r="C618">
        <v>2023</v>
      </c>
      <c r="D618">
        <v>608.55999999999995</v>
      </c>
      <c r="E618">
        <v>12</v>
      </c>
      <c r="F618">
        <v>693204.32</v>
      </c>
      <c r="G618">
        <v>352.57</v>
      </c>
      <c r="H618" s="2"/>
    </row>
    <row r="619" spans="1:8" hidden="1" x14ac:dyDescent="0.25">
      <c r="A619">
        <v>2021</v>
      </c>
      <c r="B619" t="s">
        <v>13</v>
      </c>
      <c r="C619">
        <v>2024</v>
      </c>
      <c r="D619">
        <v>1304.92</v>
      </c>
      <c r="E619">
        <v>29</v>
      </c>
      <c r="F619">
        <v>697176.7</v>
      </c>
      <c r="G619">
        <v>351.08</v>
      </c>
      <c r="H619" s="2"/>
    </row>
    <row r="620" spans="1:8" hidden="1" x14ac:dyDescent="0.25">
      <c r="A620">
        <v>2021</v>
      </c>
      <c r="B620" t="s">
        <v>14</v>
      </c>
      <c r="C620">
        <v>2019</v>
      </c>
      <c r="D620">
        <v>561.24</v>
      </c>
      <c r="E620">
        <v>13</v>
      </c>
      <c r="F620">
        <v>672183.28</v>
      </c>
      <c r="G620">
        <v>423.56</v>
      </c>
      <c r="H620" s="2">
        <f t="shared" ref="H620" si="101">SUM(E620:E625)</f>
        <v>102</v>
      </c>
    </row>
    <row r="621" spans="1:8" hidden="1" x14ac:dyDescent="0.25">
      <c r="A621">
        <v>2021</v>
      </c>
      <c r="B621" t="s">
        <v>14</v>
      </c>
      <c r="C621">
        <v>2020</v>
      </c>
      <c r="D621">
        <v>781.54</v>
      </c>
      <c r="E621">
        <v>19</v>
      </c>
      <c r="F621">
        <v>646837.81999999995</v>
      </c>
      <c r="G621">
        <v>419.43</v>
      </c>
      <c r="H621" s="2"/>
    </row>
    <row r="622" spans="1:8" hidden="1" x14ac:dyDescent="0.25">
      <c r="A622">
        <v>2021</v>
      </c>
      <c r="B622" t="s">
        <v>14</v>
      </c>
      <c r="C622">
        <v>2021</v>
      </c>
      <c r="D622">
        <v>231.65</v>
      </c>
      <c r="E622">
        <v>10</v>
      </c>
      <c r="F622">
        <v>660320.9</v>
      </c>
      <c r="G622">
        <v>415.79</v>
      </c>
      <c r="H622" s="2"/>
    </row>
    <row r="623" spans="1:8" hidden="1" x14ac:dyDescent="0.25">
      <c r="A623">
        <v>2021</v>
      </c>
      <c r="B623" t="s">
        <v>14</v>
      </c>
      <c r="C623">
        <v>2022</v>
      </c>
      <c r="D623">
        <v>591.9</v>
      </c>
      <c r="E623">
        <v>12</v>
      </c>
      <c r="F623">
        <v>635411.22</v>
      </c>
      <c r="G623">
        <v>416.46</v>
      </c>
      <c r="H623" s="2"/>
    </row>
    <row r="624" spans="1:8" hidden="1" x14ac:dyDescent="0.25">
      <c r="A624">
        <v>2021</v>
      </c>
      <c r="B624" t="s">
        <v>14</v>
      </c>
      <c r="C624">
        <v>2023</v>
      </c>
      <c r="D624">
        <v>895.33</v>
      </c>
      <c r="E624">
        <v>16</v>
      </c>
      <c r="F624">
        <v>655142.87</v>
      </c>
      <c r="G624">
        <v>419.88</v>
      </c>
      <c r="H624" s="2"/>
    </row>
    <row r="625" spans="1:8" hidden="1" x14ac:dyDescent="0.25">
      <c r="A625">
        <v>2021</v>
      </c>
      <c r="B625" t="s">
        <v>14</v>
      </c>
      <c r="C625">
        <v>2024</v>
      </c>
      <c r="D625">
        <v>1528.09</v>
      </c>
      <c r="E625">
        <v>32</v>
      </c>
      <c r="F625">
        <v>663725.52</v>
      </c>
      <c r="G625">
        <v>419.13</v>
      </c>
      <c r="H625" s="2"/>
    </row>
    <row r="626" spans="1:8" hidden="1" x14ac:dyDescent="0.25">
      <c r="A626">
        <v>2021</v>
      </c>
      <c r="B626" t="s">
        <v>15</v>
      </c>
      <c r="C626">
        <v>2019</v>
      </c>
      <c r="D626">
        <v>593.75</v>
      </c>
      <c r="E626">
        <v>13</v>
      </c>
      <c r="F626">
        <v>695898.05</v>
      </c>
      <c r="G626">
        <v>417.85</v>
      </c>
      <c r="H626" s="2">
        <f t="shared" ref="H626" si="102">SUM(E626:E631)</f>
        <v>81</v>
      </c>
    </row>
    <row r="627" spans="1:8" hidden="1" x14ac:dyDescent="0.25">
      <c r="A627">
        <v>2021</v>
      </c>
      <c r="B627" t="s">
        <v>15</v>
      </c>
      <c r="C627">
        <v>2020</v>
      </c>
      <c r="D627">
        <v>621.76</v>
      </c>
      <c r="E627">
        <v>17</v>
      </c>
      <c r="F627">
        <v>670732.52</v>
      </c>
      <c r="G627">
        <v>413.41</v>
      </c>
      <c r="H627" s="2"/>
    </row>
    <row r="628" spans="1:8" hidden="1" x14ac:dyDescent="0.25">
      <c r="A628">
        <v>2021</v>
      </c>
      <c r="B628" t="s">
        <v>15</v>
      </c>
      <c r="C628">
        <v>2021</v>
      </c>
      <c r="D628">
        <v>318.27</v>
      </c>
      <c r="E628">
        <v>10</v>
      </c>
      <c r="F628">
        <v>684599.24</v>
      </c>
      <c r="G628">
        <v>411.2</v>
      </c>
      <c r="H628" s="2"/>
    </row>
    <row r="629" spans="1:8" hidden="1" x14ac:dyDescent="0.25">
      <c r="A629">
        <v>2021</v>
      </c>
      <c r="B629" t="s">
        <v>15</v>
      </c>
      <c r="C629">
        <v>2022</v>
      </c>
      <c r="D629">
        <v>462.72</v>
      </c>
      <c r="E629">
        <v>8</v>
      </c>
      <c r="F629">
        <v>659417.59</v>
      </c>
      <c r="G629">
        <v>411.04</v>
      </c>
      <c r="H629" s="2"/>
    </row>
    <row r="630" spans="1:8" hidden="1" x14ac:dyDescent="0.25">
      <c r="A630">
        <v>2021</v>
      </c>
      <c r="B630" t="s">
        <v>15</v>
      </c>
      <c r="C630">
        <v>2023</v>
      </c>
      <c r="D630">
        <v>723.57</v>
      </c>
      <c r="E630">
        <v>9</v>
      </c>
      <c r="F630">
        <v>678555.59</v>
      </c>
      <c r="G630">
        <v>414.33</v>
      </c>
      <c r="H630" s="2"/>
    </row>
    <row r="631" spans="1:8" hidden="1" x14ac:dyDescent="0.25">
      <c r="A631">
        <v>2021</v>
      </c>
      <c r="B631" t="s">
        <v>15</v>
      </c>
      <c r="C631">
        <v>2024</v>
      </c>
      <c r="D631">
        <v>1322.66</v>
      </c>
      <c r="E631">
        <v>24</v>
      </c>
      <c r="F631">
        <v>689081.48</v>
      </c>
      <c r="G631">
        <v>414.97</v>
      </c>
      <c r="H631" s="2"/>
    </row>
    <row r="632" spans="1:8" hidden="1" x14ac:dyDescent="0.25">
      <c r="A632">
        <v>2021</v>
      </c>
      <c r="B632" t="s">
        <v>16</v>
      </c>
      <c r="C632">
        <v>2019</v>
      </c>
      <c r="D632">
        <v>347.52</v>
      </c>
      <c r="E632">
        <v>12</v>
      </c>
      <c r="F632">
        <v>787283.97</v>
      </c>
      <c r="G632">
        <v>418.02</v>
      </c>
      <c r="H632" s="2">
        <f t="shared" ref="H632" si="103">SUM(E632:E637)</f>
        <v>99</v>
      </c>
    </row>
    <row r="633" spans="1:8" hidden="1" x14ac:dyDescent="0.25">
      <c r="A633">
        <v>2021</v>
      </c>
      <c r="B633" t="s">
        <v>16</v>
      </c>
      <c r="C633">
        <v>2020</v>
      </c>
      <c r="D633">
        <v>963.7</v>
      </c>
      <c r="E633">
        <v>20</v>
      </c>
      <c r="F633">
        <v>762997.94</v>
      </c>
      <c r="G633">
        <v>419.76</v>
      </c>
      <c r="H633" s="2"/>
    </row>
    <row r="634" spans="1:8" hidden="1" x14ac:dyDescent="0.25">
      <c r="A634">
        <v>2021</v>
      </c>
      <c r="B634" t="s">
        <v>16</v>
      </c>
      <c r="C634">
        <v>2021</v>
      </c>
      <c r="D634">
        <v>76.5</v>
      </c>
      <c r="E634">
        <v>4</v>
      </c>
      <c r="F634">
        <v>772566.71</v>
      </c>
      <c r="G634">
        <v>415.31</v>
      </c>
      <c r="H634" s="2"/>
    </row>
    <row r="635" spans="1:8" hidden="1" x14ac:dyDescent="0.25">
      <c r="A635">
        <v>2021</v>
      </c>
      <c r="B635" t="s">
        <v>16</v>
      </c>
      <c r="C635">
        <v>2022</v>
      </c>
      <c r="D635">
        <v>729.48</v>
      </c>
      <c r="E635">
        <v>23</v>
      </c>
      <c r="F635">
        <v>731557.15</v>
      </c>
      <c r="G635">
        <v>410.63</v>
      </c>
      <c r="H635" s="2"/>
    </row>
    <row r="636" spans="1:8" hidden="1" x14ac:dyDescent="0.25">
      <c r="A636">
        <v>2021</v>
      </c>
      <c r="B636" t="s">
        <v>16</v>
      </c>
      <c r="C636">
        <v>2023</v>
      </c>
      <c r="D636">
        <v>760.07</v>
      </c>
      <c r="E636">
        <v>13</v>
      </c>
      <c r="F636">
        <v>772008.19</v>
      </c>
      <c r="G636">
        <v>416.54</v>
      </c>
      <c r="H636" s="2"/>
    </row>
    <row r="637" spans="1:8" hidden="1" x14ac:dyDescent="0.25">
      <c r="A637">
        <v>2021</v>
      </c>
      <c r="B637" t="s">
        <v>16</v>
      </c>
      <c r="C637">
        <v>2024</v>
      </c>
      <c r="D637">
        <v>1152.8800000000001</v>
      </c>
      <c r="E637">
        <v>27</v>
      </c>
      <c r="F637">
        <v>782251.7</v>
      </c>
      <c r="G637">
        <v>413.77</v>
      </c>
      <c r="H637" s="2"/>
    </row>
    <row r="638" spans="1:8" hidden="1" x14ac:dyDescent="0.25">
      <c r="A638">
        <v>2021</v>
      </c>
      <c r="B638" t="s">
        <v>17</v>
      </c>
      <c r="C638">
        <v>2019</v>
      </c>
      <c r="D638">
        <v>583.89</v>
      </c>
      <c r="E638">
        <v>17</v>
      </c>
      <c r="F638">
        <v>765161.66</v>
      </c>
      <c r="G638">
        <v>396.24</v>
      </c>
      <c r="H638" s="2">
        <f t="shared" ref="H638" si="104">SUM(E638:E643)</f>
        <v>115</v>
      </c>
    </row>
    <row r="639" spans="1:8" hidden="1" x14ac:dyDescent="0.25">
      <c r="A639">
        <v>2021</v>
      </c>
      <c r="B639" t="s">
        <v>17</v>
      </c>
      <c r="C639">
        <v>2020</v>
      </c>
      <c r="D639">
        <v>1118.25</v>
      </c>
      <c r="E639">
        <v>21</v>
      </c>
      <c r="F639">
        <v>741611.91</v>
      </c>
      <c r="G639">
        <v>397.49</v>
      </c>
      <c r="H639" s="2"/>
    </row>
    <row r="640" spans="1:8" hidden="1" x14ac:dyDescent="0.25">
      <c r="A640">
        <v>2021</v>
      </c>
      <c r="B640" t="s">
        <v>17</v>
      </c>
      <c r="C640">
        <v>2021</v>
      </c>
      <c r="D640">
        <v>211.43</v>
      </c>
      <c r="E640">
        <v>7</v>
      </c>
      <c r="F640">
        <v>750963.53</v>
      </c>
      <c r="G640">
        <v>392.77</v>
      </c>
      <c r="H640" s="2"/>
    </row>
    <row r="641" spans="1:8" hidden="1" x14ac:dyDescent="0.25">
      <c r="A641">
        <v>2021</v>
      </c>
      <c r="B641" t="s">
        <v>17</v>
      </c>
      <c r="C641">
        <v>2022</v>
      </c>
      <c r="D641">
        <v>946.6</v>
      </c>
      <c r="E641">
        <v>25</v>
      </c>
      <c r="F641">
        <v>712484.84</v>
      </c>
      <c r="G641">
        <v>388.28</v>
      </c>
      <c r="H641" s="2"/>
    </row>
    <row r="642" spans="1:8" hidden="1" x14ac:dyDescent="0.25">
      <c r="A642">
        <v>2021</v>
      </c>
      <c r="B642" t="s">
        <v>17</v>
      </c>
      <c r="C642">
        <v>2023</v>
      </c>
      <c r="D642">
        <v>791.17</v>
      </c>
      <c r="E642">
        <v>18</v>
      </c>
      <c r="F642">
        <v>749139.37</v>
      </c>
      <c r="G642">
        <v>394.7</v>
      </c>
      <c r="H642" s="2"/>
    </row>
    <row r="643" spans="1:8" hidden="1" x14ac:dyDescent="0.25">
      <c r="A643">
        <v>2021</v>
      </c>
      <c r="B643" t="s">
        <v>17</v>
      </c>
      <c r="C643">
        <v>2024</v>
      </c>
      <c r="D643">
        <v>1356.94</v>
      </c>
      <c r="E643">
        <v>27</v>
      </c>
      <c r="F643">
        <v>759648.36</v>
      </c>
      <c r="G643">
        <v>392.78</v>
      </c>
      <c r="H643" s="2"/>
    </row>
    <row r="644" spans="1:8" hidden="1" x14ac:dyDescent="0.25">
      <c r="A644">
        <v>2021</v>
      </c>
      <c r="B644" t="s">
        <v>18</v>
      </c>
      <c r="C644">
        <v>2019</v>
      </c>
      <c r="D644">
        <v>185.03</v>
      </c>
      <c r="E644">
        <v>4</v>
      </c>
      <c r="F644">
        <v>652157.37</v>
      </c>
      <c r="G644">
        <v>445.26</v>
      </c>
      <c r="H644" s="2">
        <f t="shared" ref="H644" si="105">SUM(E644:E649)</f>
        <v>45</v>
      </c>
    </row>
    <row r="645" spans="1:8" hidden="1" x14ac:dyDescent="0.25">
      <c r="A645">
        <v>2021</v>
      </c>
      <c r="B645" t="s">
        <v>18</v>
      </c>
      <c r="C645">
        <v>2020</v>
      </c>
      <c r="D645">
        <v>0</v>
      </c>
      <c r="E645">
        <v>0</v>
      </c>
      <c r="F645">
        <v>633361.72</v>
      </c>
      <c r="G645">
        <v>446.77</v>
      </c>
      <c r="H645" s="2"/>
    </row>
    <row r="646" spans="1:8" hidden="1" x14ac:dyDescent="0.25">
      <c r="A646">
        <v>2021</v>
      </c>
      <c r="B646" t="s">
        <v>18</v>
      </c>
      <c r="C646">
        <v>2021</v>
      </c>
      <c r="D646">
        <v>575.77</v>
      </c>
      <c r="E646">
        <v>9</v>
      </c>
      <c r="F646">
        <v>627163.38</v>
      </c>
      <c r="G646">
        <v>443.51</v>
      </c>
      <c r="H646" s="2"/>
    </row>
    <row r="647" spans="1:8" hidden="1" x14ac:dyDescent="0.25">
      <c r="A647">
        <v>2021</v>
      </c>
      <c r="B647" t="s">
        <v>18</v>
      </c>
      <c r="C647">
        <v>2022</v>
      </c>
      <c r="D647">
        <v>1431.95</v>
      </c>
      <c r="E647">
        <v>26</v>
      </c>
      <c r="F647">
        <v>633803.4</v>
      </c>
      <c r="G647">
        <v>441.73</v>
      </c>
      <c r="H647" s="2"/>
    </row>
    <row r="648" spans="1:8" hidden="1" x14ac:dyDescent="0.25">
      <c r="A648">
        <v>2021</v>
      </c>
      <c r="B648" t="s">
        <v>18</v>
      </c>
      <c r="C648">
        <v>2023</v>
      </c>
      <c r="D648">
        <v>108.73</v>
      </c>
      <c r="E648">
        <v>2</v>
      </c>
      <c r="F648">
        <v>625989.80000000005</v>
      </c>
      <c r="G648">
        <v>446.3</v>
      </c>
      <c r="H648" s="2"/>
    </row>
    <row r="649" spans="1:8" hidden="1" x14ac:dyDescent="0.25">
      <c r="A649">
        <v>2021</v>
      </c>
      <c r="B649" t="s">
        <v>18</v>
      </c>
      <c r="C649">
        <v>2024</v>
      </c>
      <c r="D649">
        <v>189.91</v>
      </c>
      <c r="E649">
        <v>4</v>
      </c>
      <c r="F649">
        <v>607768.05000000005</v>
      </c>
      <c r="G649">
        <v>438.4</v>
      </c>
      <c r="H649" s="2"/>
    </row>
    <row r="650" spans="1:8" hidden="1" x14ac:dyDescent="0.25">
      <c r="A650">
        <v>2021</v>
      </c>
      <c r="B650" t="s">
        <v>19</v>
      </c>
      <c r="C650">
        <v>2019</v>
      </c>
      <c r="D650">
        <v>876.34</v>
      </c>
      <c r="E650">
        <v>19</v>
      </c>
      <c r="F650">
        <v>608026.62</v>
      </c>
      <c r="G650">
        <v>341.66</v>
      </c>
      <c r="H650" s="2">
        <f t="shared" ref="H650" si="106">SUM(E650:E655)</f>
        <v>128</v>
      </c>
    </row>
    <row r="651" spans="1:8" hidden="1" x14ac:dyDescent="0.25">
      <c r="A651">
        <v>2021</v>
      </c>
      <c r="B651" t="s">
        <v>19</v>
      </c>
      <c r="C651">
        <v>2020</v>
      </c>
      <c r="D651">
        <v>618.37</v>
      </c>
      <c r="E651">
        <v>16</v>
      </c>
      <c r="F651">
        <v>588965.87</v>
      </c>
      <c r="G651">
        <v>340.72</v>
      </c>
      <c r="H651" s="2"/>
    </row>
    <row r="652" spans="1:8" hidden="1" x14ac:dyDescent="0.25">
      <c r="A652">
        <v>2021</v>
      </c>
      <c r="B652" t="s">
        <v>19</v>
      </c>
      <c r="C652">
        <v>2021</v>
      </c>
      <c r="D652">
        <v>518.66999999999996</v>
      </c>
      <c r="E652">
        <v>10</v>
      </c>
      <c r="F652">
        <v>586875.34</v>
      </c>
      <c r="G652">
        <v>340.92</v>
      </c>
      <c r="H652" s="2"/>
    </row>
    <row r="653" spans="1:8" hidden="1" x14ac:dyDescent="0.25">
      <c r="A653">
        <v>2021</v>
      </c>
      <c r="B653" t="s">
        <v>19</v>
      </c>
      <c r="C653">
        <v>2022</v>
      </c>
      <c r="D653">
        <v>2021.06</v>
      </c>
      <c r="E653">
        <v>40</v>
      </c>
      <c r="F653">
        <v>575935.98</v>
      </c>
      <c r="G653">
        <v>339.88</v>
      </c>
      <c r="H653" s="2"/>
    </row>
    <row r="654" spans="1:8" hidden="1" x14ac:dyDescent="0.25">
      <c r="A654">
        <v>2021</v>
      </c>
      <c r="B654" t="s">
        <v>19</v>
      </c>
      <c r="C654">
        <v>2023</v>
      </c>
      <c r="D654">
        <v>426.82</v>
      </c>
      <c r="E654">
        <v>9</v>
      </c>
      <c r="F654">
        <v>587737.69999999995</v>
      </c>
      <c r="G654">
        <v>343.82</v>
      </c>
      <c r="H654" s="2"/>
    </row>
    <row r="655" spans="1:8" hidden="1" x14ac:dyDescent="0.25">
      <c r="A655">
        <v>2021</v>
      </c>
      <c r="B655" t="s">
        <v>19</v>
      </c>
      <c r="C655">
        <v>2024</v>
      </c>
      <c r="D655">
        <v>1526.78</v>
      </c>
      <c r="E655">
        <v>34</v>
      </c>
      <c r="F655">
        <v>559286.99</v>
      </c>
      <c r="G655">
        <v>332.44</v>
      </c>
      <c r="H655" s="2"/>
    </row>
    <row r="656" spans="1:8" hidden="1" x14ac:dyDescent="0.25">
      <c r="A656">
        <v>2021</v>
      </c>
      <c r="B656" t="s">
        <v>20</v>
      </c>
      <c r="C656">
        <v>2019</v>
      </c>
      <c r="D656">
        <v>518.24</v>
      </c>
      <c r="E656">
        <v>17</v>
      </c>
      <c r="F656">
        <v>774748.9</v>
      </c>
      <c r="G656">
        <v>297.72000000000003</v>
      </c>
      <c r="H656" s="2">
        <f t="shared" ref="H656" si="107">SUM(E656:E661)</f>
        <v>33</v>
      </c>
    </row>
    <row r="657" spans="1:8" hidden="1" x14ac:dyDescent="0.25">
      <c r="A657">
        <v>2021</v>
      </c>
      <c r="B657" t="s">
        <v>20</v>
      </c>
      <c r="C657">
        <v>2020</v>
      </c>
      <c r="D657">
        <v>33.479999999999997</v>
      </c>
      <c r="E657">
        <v>3</v>
      </c>
      <c r="F657">
        <v>764635.37</v>
      </c>
      <c r="G657">
        <v>300.86</v>
      </c>
      <c r="H657" s="2"/>
    </row>
    <row r="658" spans="1:8" hidden="1" x14ac:dyDescent="0.25">
      <c r="A658">
        <v>2021</v>
      </c>
      <c r="B658" t="s">
        <v>20</v>
      </c>
      <c r="C658">
        <v>2021</v>
      </c>
      <c r="D658">
        <v>326.92</v>
      </c>
      <c r="E658">
        <v>10</v>
      </c>
      <c r="F658">
        <v>733091.26</v>
      </c>
      <c r="G658">
        <v>295.36</v>
      </c>
      <c r="H658" s="2"/>
    </row>
    <row r="659" spans="1:8" hidden="1" x14ac:dyDescent="0.25">
      <c r="A659">
        <v>2021</v>
      </c>
      <c r="B659" t="s">
        <v>20</v>
      </c>
      <c r="C659">
        <v>2022</v>
      </c>
      <c r="D659">
        <v>9.19</v>
      </c>
      <c r="E659">
        <v>1</v>
      </c>
      <c r="F659">
        <v>736501.74</v>
      </c>
      <c r="G659">
        <v>299.41000000000003</v>
      </c>
      <c r="H659" s="2"/>
    </row>
    <row r="660" spans="1:8" hidden="1" x14ac:dyDescent="0.25">
      <c r="A660">
        <v>2021</v>
      </c>
      <c r="B660" t="s">
        <v>20</v>
      </c>
      <c r="C660">
        <v>2023</v>
      </c>
      <c r="D660">
        <v>3.07</v>
      </c>
      <c r="E660">
        <v>1</v>
      </c>
      <c r="F660">
        <v>752883.4</v>
      </c>
      <c r="G660">
        <v>299.95</v>
      </c>
      <c r="H660" s="2"/>
    </row>
    <row r="661" spans="1:8" hidden="1" x14ac:dyDescent="0.25">
      <c r="A661">
        <v>2021</v>
      </c>
      <c r="B661" t="s">
        <v>20</v>
      </c>
      <c r="C661">
        <v>2024</v>
      </c>
      <c r="D661">
        <v>31.79</v>
      </c>
      <c r="E661">
        <v>1</v>
      </c>
      <c r="F661">
        <v>741354.58</v>
      </c>
      <c r="G661">
        <v>300.27999999999997</v>
      </c>
      <c r="H661" s="2"/>
    </row>
    <row r="662" spans="1:8" hidden="1" x14ac:dyDescent="0.25">
      <c r="A662">
        <v>2021</v>
      </c>
      <c r="B662" t="s">
        <v>21</v>
      </c>
      <c r="C662">
        <v>2019</v>
      </c>
      <c r="D662">
        <v>286.11</v>
      </c>
      <c r="E662">
        <v>14</v>
      </c>
      <c r="F662">
        <v>748667.92</v>
      </c>
      <c r="G662">
        <v>284.43</v>
      </c>
      <c r="H662" s="2">
        <f t="shared" ref="H662" si="108">SUM(E662:E667)</f>
        <v>40</v>
      </c>
    </row>
    <row r="663" spans="1:8" hidden="1" x14ac:dyDescent="0.25">
      <c r="A663">
        <v>2021</v>
      </c>
      <c r="B663" t="s">
        <v>21</v>
      </c>
      <c r="C663">
        <v>2020</v>
      </c>
      <c r="D663">
        <v>23.38</v>
      </c>
      <c r="E663">
        <v>3</v>
      </c>
      <c r="F663">
        <v>737722.74</v>
      </c>
      <c r="G663">
        <v>286.83</v>
      </c>
      <c r="H663" s="2"/>
    </row>
    <row r="664" spans="1:8" hidden="1" x14ac:dyDescent="0.25">
      <c r="A664">
        <v>2021</v>
      </c>
      <c r="B664" t="s">
        <v>21</v>
      </c>
      <c r="C664">
        <v>2021</v>
      </c>
      <c r="D664">
        <v>225.93</v>
      </c>
      <c r="E664">
        <v>8</v>
      </c>
      <c r="F664">
        <v>708775.67</v>
      </c>
      <c r="G664">
        <v>282.14</v>
      </c>
      <c r="H664" s="2"/>
    </row>
    <row r="665" spans="1:8" hidden="1" x14ac:dyDescent="0.25">
      <c r="A665">
        <v>2021</v>
      </c>
      <c r="B665" t="s">
        <v>21</v>
      </c>
      <c r="C665">
        <v>2022</v>
      </c>
      <c r="D665">
        <v>99.89</v>
      </c>
      <c r="E665">
        <v>10</v>
      </c>
      <c r="F665">
        <v>711194.85</v>
      </c>
      <c r="G665">
        <v>284.66000000000003</v>
      </c>
      <c r="H665" s="2"/>
    </row>
    <row r="666" spans="1:8" hidden="1" x14ac:dyDescent="0.25">
      <c r="A666">
        <v>2021</v>
      </c>
      <c r="B666" t="s">
        <v>21</v>
      </c>
      <c r="C666">
        <v>2023</v>
      </c>
      <c r="D666">
        <v>6.63</v>
      </c>
      <c r="E666">
        <v>2</v>
      </c>
      <c r="F666">
        <v>726773.43</v>
      </c>
      <c r="G666">
        <v>286.02</v>
      </c>
      <c r="H666" s="2"/>
    </row>
    <row r="667" spans="1:8" hidden="1" x14ac:dyDescent="0.25">
      <c r="A667">
        <v>2021</v>
      </c>
      <c r="B667" t="s">
        <v>21</v>
      </c>
      <c r="C667">
        <v>2024</v>
      </c>
      <c r="D667">
        <v>41.48</v>
      </c>
      <c r="E667">
        <v>3</v>
      </c>
      <c r="F667">
        <v>718339.32</v>
      </c>
      <c r="G667">
        <v>286.79000000000002</v>
      </c>
      <c r="H667" s="2"/>
    </row>
    <row r="668" spans="1:8" hidden="1" x14ac:dyDescent="0.25">
      <c r="A668">
        <v>2021</v>
      </c>
      <c r="B668" t="s">
        <v>22</v>
      </c>
      <c r="C668">
        <v>2019</v>
      </c>
      <c r="D668">
        <v>0</v>
      </c>
      <c r="E668">
        <v>0</v>
      </c>
      <c r="F668">
        <v>1212579.1499999999</v>
      </c>
      <c r="G668">
        <v>417.46</v>
      </c>
      <c r="H668" s="2">
        <f t="shared" ref="H668" si="109">SUM(E668:E673)</f>
        <v>26</v>
      </c>
    </row>
    <row r="669" spans="1:8" hidden="1" x14ac:dyDescent="0.25">
      <c r="A669">
        <v>2021</v>
      </c>
      <c r="B669" t="s">
        <v>22</v>
      </c>
      <c r="C669">
        <v>2020</v>
      </c>
      <c r="D669">
        <v>31.82</v>
      </c>
      <c r="E669">
        <v>1</v>
      </c>
      <c r="F669">
        <v>1116284.3700000001</v>
      </c>
      <c r="G669">
        <v>410.54</v>
      </c>
      <c r="H669" s="2"/>
    </row>
    <row r="670" spans="1:8" hidden="1" x14ac:dyDescent="0.25">
      <c r="A670">
        <v>2021</v>
      </c>
      <c r="B670" t="s">
        <v>22</v>
      </c>
      <c r="C670">
        <v>2021</v>
      </c>
      <c r="D670">
        <v>230.96</v>
      </c>
      <c r="E670">
        <v>6</v>
      </c>
      <c r="F670">
        <v>1160606.5</v>
      </c>
      <c r="G670">
        <v>408.56</v>
      </c>
      <c r="H670" s="2"/>
    </row>
    <row r="671" spans="1:8" hidden="1" x14ac:dyDescent="0.25">
      <c r="A671">
        <v>2021</v>
      </c>
      <c r="B671" t="s">
        <v>22</v>
      </c>
      <c r="C671">
        <v>2022</v>
      </c>
      <c r="D671">
        <v>625.52</v>
      </c>
      <c r="E671">
        <v>12</v>
      </c>
      <c r="F671">
        <v>1098400.6200000001</v>
      </c>
      <c r="G671">
        <v>410.7</v>
      </c>
      <c r="H671" s="2"/>
    </row>
    <row r="672" spans="1:8" hidden="1" x14ac:dyDescent="0.25">
      <c r="A672">
        <v>2021</v>
      </c>
      <c r="B672" t="s">
        <v>22</v>
      </c>
      <c r="C672">
        <v>2023</v>
      </c>
      <c r="D672">
        <v>169.65</v>
      </c>
      <c r="E672">
        <v>5</v>
      </c>
      <c r="F672">
        <v>1174600.95</v>
      </c>
      <c r="G672">
        <v>415.64</v>
      </c>
      <c r="H672" s="2"/>
    </row>
    <row r="673" spans="1:8" hidden="1" x14ac:dyDescent="0.25">
      <c r="A673">
        <v>2021</v>
      </c>
      <c r="B673" t="s">
        <v>22</v>
      </c>
      <c r="C673">
        <v>2024</v>
      </c>
      <c r="D673">
        <v>139.63999999999999</v>
      </c>
      <c r="E673">
        <v>2</v>
      </c>
      <c r="F673">
        <v>1171508.4099999999</v>
      </c>
      <c r="G673">
        <v>413.5</v>
      </c>
      <c r="H673" s="2"/>
    </row>
    <row r="674" spans="1:8" hidden="1" x14ac:dyDescent="0.25">
      <c r="A674">
        <v>2021</v>
      </c>
      <c r="B674" t="s">
        <v>23</v>
      </c>
      <c r="C674">
        <v>2019</v>
      </c>
      <c r="D674">
        <v>497.16</v>
      </c>
      <c r="E674">
        <v>20</v>
      </c>
      <c r="F674">
        <v>557391.99</v>
      </c>
      <c r="G674">
        <v>269.13</v>
      </c>
      <c r="H674" s="2">
        <f t="shared" ref="H674" si="110">SUM(E674:E679)</f>
        <v>182</v>
      </c>
    </row>
    <row r="675" spans="1:8" hidden="1" x14ac:dyDescent="0.25">
      <c r="A675">
        <v>2021</v>
      </c>
      <c r="B675" t="s">
        <v>23</v>
      </c>
      <c r="C675">
        <v>2020</v>
      </c>
      <c r="D675">
        <v>1280.3699999999999</v>
      </c>
      <c r="E675">
        <v>37</v>
      </c>
      <c r="F675">
        <v>553565.28</v>
      </c>
      <c r="G675">
        <v>266.58999999999997</v>
      </c>
      <c r="H675" s="2"/>
    </row>
    <row r="676" spans="1:8" hidden="1" x14ac:dyDescent="0.25">
      <c r="A676">
        <v>2021</v>
      </c>
      <c r="B676" t="s">
        <v>23</v>
      </c>
      <c r="C676">
        <v>2021</v>
      </c>
      <c r="D676">
        <v>113.67</v>
      </c>
      <c r="E676">
        <v>10</v>
      </c>
      <c r="F676">
        <v>536715.38</v>
      </c>
      <c r="G676">
        <v>267.3</v>
      </c>
      <c r="H676" s="2"/>
    </row>
    <row r="677" spans="1:8" hidden="1" x14ac:dyDescent="0.25">
      <c r="A677">
        <v>2021</v>
      </c>
      <c r="B677" t="s">
        <v>23</v>
      </c>
      <c r="C677">
        <v>2022</v>
      </c>
      <c r="D677">
        <v>2806.02</v>
      </c>
      <c r="E677">
        <v>60</v>
      </c>
      <c r="F677">
        <v>536306.57999999996</v>
      </c>
      <c r="G677">
        <v>264.76</v>
      </c>
      <c r="H677" s="2"/>
    </row>
    <row r="678" spans="1:8" hidden="1" x14ac:dyDescent="0.25">
      <c r="A678">
        <v>2021</v>
      </c>
      <c r="B678" t="s">
        <v>23</v>
      </c>
      <c r="C678">
        <v>2023</v>
      </c>
      <c r="D678">
        <v>924.64</v>
      </c>
      <c r="E678">
        <v>27</v>
      </c>
      <c r="F678">
        <v>546079.03</v>
      </c>
      <c r="G678">
        <v>267.36</v>
      </c>
      <c r="H678" s="2"/>
    </row>
    <row r="679" spans="1:8" hidden="1" x14ac:dyDescent="0.25">
      <c r="A679">
        <v>2021</v>
      </c>
      <c r="B679" t="s">
        <v>23</v>
      </c>
      <c r="C679">
        <v>2024</v>
      </c>
      <c r="D679">
        <v>941.56</v>
      </c>
      <c r="E679">
        <v>28</v>
      </c>
      <c r="F679">
        <v>536107.54</v>
      </c>
      <c r="G679">
        <v>266.05</v>
      </c>
      <c r="H679" s="2"/>
    </row>
    <row r="680" spans="1:8" hidden="1" x14ac:dyDescent="0.25">
      <c r="A680">
        <v>2021</v>
      </c>
      <c r="B680" t="s">
        <v>24</v>
      </c>
      <c r="C680">
        <v>2019</v>
      </c>
      <c r="D680">
        <v>865.39</v>
      </c>
      <c r="E680">
        <v>16</v>
      </c>
      <c r="F680">
        <v>571994.53</v>
      </c>
      <c r="G680">
        <v>489.49</v>
      </c>
      <c r="H680" s="2">
        <f t="shared" ref="H680" si="111">SUM(E680:E685)</f>
        <v>99</v>
      </c>
    </row>
    <row r="681" spans="1:8" hidden="1" x14ac:dyDescent="0.25">
      <c r="A681">
        <v>2021</v>
      </c>
      <c r="B681" t="s">
        <v>24</v>
      </c>
      <c r="C681">
        <v>2020</v>
      </c>
      <c r="D681">
        <v>6.85</v>
      </c>
      <c r="E681">
        <v>1</v>
      </c>
      <c r="F681">
        <v>559849.39</v>
      </c>
      <c r="G681">
        <v>492.39</v>
      </c>
      <c r="H681" s="2"/>
    </row>
    <row r="682" spans="1:8" hidden="1" x14ac:dyDescent="0.25">
      <c r="A682">
        <v>2021</v>
      </c>
      <c r="B682" t="s">
        <v>24</v>
      </c>
      <c r="C682">
        <v>2021</v>
      </c>
      <c r="D682">
        <v>191.1</v>
      </c>
      <c r="E682">
        <v>5</v>
      </c>
      <c r="F682">
        <v>556908.86</v>
      </c>
      <c r="G682">
        <v>491.49</v>
      </c>
      <c r="H682" s="2"/>
    </row>
    <row r="683" spans="1:8" hidden="1" x14ac:dyDescent="0.25">
      <c r="A683">
        <v>2021</v>
      </c>
      <c r="B683" t="s">
        <v>24</v>
      </c>
      <c r="C683">
        <v>2022</v>
      </c>
      <c r="D683">
        <v>1833.68</v>
      </c>
      <c r="E683">
        <v>29</v>
      </c>
      <c r="F683">
        <v>556143.52</v>
      </c>
      <c r="G683">
        <v>489.4</v>
      </c>
      <c r="H683" s="2"/>
    </row>
    <row r="684" spans="1:8" hidden="1" x14ac:dyDescent="0.25">
      <c r="A684">
        <v>2021</v>
      </c>
      <c r="B684" t="s">
        <v>24</v>
      </c>
      <c r="C684">
        <v>2023</v>
      </c>
      <c r="D684">
        <v>429.27</v>
      </c>
      <c r="E684">
        <v>13</v>
      </c>
      <c r="F684">
        <v>550095.92000000004</v>
      </c>
      <c r="G684">
        <v>495.74</v>
      </c>
      <c r="H684" s="2"/>
    </row>
    <row r="685" spans="1:8" hidden="1" x14ac:dyDescent="0.25">
      <c r="A685">
        <v>2021</v>
      </c>
      <c r="B685" t="s">
        <v>24</v>
      </c>
      <c r="C685">
        <v>2024</v>
      </c>
      <c r="D685">
        <v>1957.02</v>
      </c>
      <c r="E685">
        <v>35</v>
      </c>
      <c r="F685">
        <v>526229.84</v>
      </c>
      <c r="G685">
        <v>473.12</v>
      </c>
      <c r="H685" s="2"/>
    </row>
    <row r="686" spans="1:8" hidden="1" x14ac:dyDescent="0.25">
      <c r="A686">
        <v>2021</v>
      </c>
      <c r="B686" t="s">
        <v>25</v>
      </c>
      <c r="C686">
        <v>2019</v>
      </c>
      <c r="D686">
        <v>48.54</v>
      </c>
      <c r="E686">
        <v>5</v>
      </c>
      <c r="F686">
        <v>654428.53</v>
      </c>
      <c r="G686">
        <v>312.47000000000003</v>
      </c>
      <c r="H686" s="2">
        <f t="shared" ref="H686" si="112">SUM(E686:E691)</f>
        <v>58</v>
      </c>
    </row>
    <row r="687" spans="1:8" hidden="1" x14ac:dyDescent="0.25">
      <c r="A687">
        <v>2021</v>
      </c>
      <c r="B687" t="s">
        <v>25</v>
      </c>
      <c r="C687">
        <v>2020</v>
      </c>
      <c r="D687">
        <v>260.85000000000002</v>
      </c>
      <c r="E687">
        <v>10</v>
      </c>
      <c r="F687">
        <v>653815.38</v>
      </c>
      <c r="G687">
        <v>310.89999999999998</v>
      </c>
      <c r="H687" s="2"/>
    </row>
    <row r="688" spans="1:8" hidden="1" x14ac:dyDescent="0.25">
      <c r="A688">
        <v>2021</v>
      </c>
      <c r="B688" t="s">
        <v>25</v>
      </c>
      <c r="C688">
        <v>2021</v>
      </c>
      <c r="D688">
        <v>262.44</v>
      </c>
      <c r="E688">
        <v>9</v>
      </c>
      <c r="F688">
        <v>631371.73</v>
      </c>
      <c r="G688">
        <v>307.29000000000002</v>
      </c>
      <c r="H688" s="2"/>
    </row>
    <row r="689" spans="1:8" hidden="1" x14ac:dyDescent="0.25">
      <c r="A689">
        <v>2021</v>
      </c>
      <c r="B689" t="s">
        <v>25</v>
      </c>
      <c r="C689">
        <v>2022</v>
      </c>
      <c r="D689">
        <v>1089.05</v>
      </c>
      <c r="E689">
        <v>26</v>
      </c>
      <c r="F689">
        <v>638025.5</v>
      </c>
      <c r="G689">
        <v>307.67</v>
      </c>
      <c r="H689" s="2"/>
    </row>
    <row r="690" spans="1:8" hidden="1" x14ac:dyDescent="0.25">
      <c r="A690">
        <v>2021</v>
      </c>
      <c r="B690" t="s">
        <v>25</v>
      </c>
      <c r="C690">
        <v>2023</v>
      </c>
      <c r="D690">
        <v>13.28</v>
      </c>
      <c r="E690">
        <v>3</v>
      </c>
      <c r="F690">
        <v>649050.67000000004</v>
      </c>
      <c r="G690">
        <v>311.89</v>
      </c>
      <c r="H690" s="2"/>
    </row>
    <row r="691" spans="1:8" hidden="1" x14ac:dyDescent="0.25">
      <c r="A691">
        <v>2021</v>
      </c>
      <c r="B691" t="s">
        <v>25</v>
      </c>
      <c r="C691">
        <v>2024</v>
      </c>
      <c r="D691">
        <v>113.96</v>
      </c>
      <c r="E691">
        <v>5</v>
      </c>
      <c r="F691">
        <v>640152.69999999995</v>
      </c>
      <c r="G691">
        <v>312.48</v>
      </c>
      <c r="H691" s="2"/>
    </row>
    <row r="692" spans="1:8" hidden="1" x14ac:dyDescent="0.25">
      <c r="A692">
        <v>2021</v>
      </c>
      <c r="B692" t="s">
        <v>26</v>
      </c>
      <c r="C692">
        <v>2019</v>
      </c>
      <c r="D692">
        <v>16.579999999999998</v>
      </c>
      <c r="E692">
        <v>8</v>
      </c>
      <c r="F692">
        <v>704760.95</v>
      </c>
      <c r="G692">
        <v>254.32</v>
      </c>
      <c r="H692" s="2">
        <f t="shared" ref="H692" si="113">SUM(E692:E697)</f>
        <v>55</v>
      </c>
    </row>
    <row r="693" spans="1:8" hidden="1" x14ac:dyDescent="0.25">
      <c r="A693">
        <v>2021</v>
      </c>
      <c r="B693" t="s">
        <v>26</v>
      </c>
      <c r="C693">
        <v>2020</v>
      </c>
      <c r="D693">
        <v>120.5</v>
      </c>
      <c r="E693">
        <v>10</v>
      </c>
      <c r="F693">
        <v>692777.05</v>
      </c>
      <c r="G693">
        <v>251.78</v>
      </c>
      <c r="H693" s="2"/>
    </row>
    <row r="694" spans="1:8" hidden="1" x14ac:dyDescent="0.25">
      <c r="A694">
        <v>2021</v>
      </c>
      <c r="B694" t="s">
        <v>26</v>
      </c>
      <c r="C694">
        <v>2021</v>
      </c>
      <c r="D694">
        <v>41.93</v>
      </c>
      <c r="E694">
        <v>8</v>
      </c>
      <c r="F694">
        <v>671181.72</v>
      </c>
      <c r="G694">
        <v>250.9</v>
      </c>
      <c r="H694" s="2"/>
    </row>
    <row r="695" spans="1:8" hidden="1" x14ac:dyDescent="0.25">
      <c r="A695">
        <v>2021</v>
      </c>
      <c r="B695" t="s">
        <v>26</v>
      </c>
      <c r="C695">
        <v>2022</v>
      </c>
      <c r="D695">
        <v>301.27</v>
      </c>
      <c r="E695">
        <v>16</v>
      </c>
      <c r="F695">
        <v>670250.96</v>
      </c>
      <c r="G695">
        <v>251.05</v>
      </c>
      <c r="H695" s="2"/>
    </row>
    <row r="696" spans="1:8" hidden="1" x14ac:dyDescent="0.25">
      <c r="A696">
        <v>2021</v>
      </c>
      <c r="B696" t="s">
        <v>26</v>
      </c>
      <c r="C696">
        <v>2023</v>
      </c>
      <c r="D696">
        <v>140.15</v>
      </c>
      <c r="E696">
        <v>8</v>
      </c>
      <c r="F696">
        <v>683607.6</v>
      </c>
      <c r="G696">
        <v>252.36</v>
      </c>
      <c r="H696" s="2"/>
    </row>
    <row r="697" spans="1:8" hidden="1" x14ac:dyDescent="0.25">
      <c r="A697">
        <v>2021</v>
      </c>
      <c r="B697" t="s">
        <v>26</v>
      </c>
      <c r="C697">
        <v>2024</v>
      </c>
      <c r="D697">
        <v>87.11</v>
      </c>
      <c r="E697">
        <v>5</v>
      </c>
      <c r="F697">
        <v>676116.75</v>
      </c>
      <c r="G697">
        <v>252.64</v>
      </c>
      <c r="H697" s="2"/>
    </row>
    <row r="698" spans="1:8" hidden="1" x14ac:dyDescent="0.25">
      <c r="A698">
        <v>2021</v>
      </c>
      <c r="B698" t="s">
        <v>27</v>
      </c>
      <c r="C698">
        <v>2019</v>
      </c>
      <c r="D698">
        <v>44.03</v>
      </c>
      <c r="E698">
        <v>12</v>
      </c>
      <c r="F698">
        <v>685315.09</v>
      </c>
      <c r="G698">
        <v>297.49</v>
      </c>
      <c r="H698" s="2">
        <f t="shared" ref="H698" si="114">SUM(E698:E703)</f>
        <v>140</v>
      </c>
    </row>
    <row r="699" spans="1:8" hidden="1" x14ac:dyDescent="0.25">
      <c r="A699">
        <v>2021</v>
      </c>
      <c r="B699" t="s">
        <v>27</v>
      </c>
      <c r="C699">
        <v>2020</v>
      </c>
      <c r="D699">
        <v>568.85</v>
      </c>
      <c r="E699">
        <v>17</v>
      </c>
      <c r="F699">
        <v>673856.18</v>
      </c>
      <c r="G699">
        <v>294.3</v>
      </c>
      <c r="H699" s="2"/>
    </row>
    <row r="700" spans="1:8" hidden="1" x14ac:dyDescent="0.25">
      <c r="A700">
        <v>2021</v>
      </c>
      <c r="B700" t="s">
        <v>27</v>
      </c>
      <c r="C700">
        <v>2021</v>
      </c>
      <c r="D700">
        <v>675.41</v>
      </c>
      <c r="E700">
        <v>18</v>
      </c>
      <c r="F700">
        <v>667982.82999999996</v>
      </c>
      <c r="G700">
        <v>294.14</v>
      </c>
      <c r="H700" s="2"/>
    </row>
    <row r="701" spans="1:8" hidden="1" x14ac:dyDescent="0.25">
      <c r="A701">
        <v>2021</v>
      </c>
      <c r="B701" t="s">
        <v>27</v>
      </c>
      <c r="C701">
        <v>2022</v>
      </c>
      <c r="D701">
        <v>2310.4499999999998</v>
      </c>
      <c r="E701">
        <v>58</v>
      </c>
      <c r="F701">
        <v>651916.5</v>
      </c>
      <c r="G701">
        <v>288.23</v>
      </c>
      <c r="H701" s="2"/>
    </row>
    <row r="702" spans="1:8" hidden="1" x14ac:dyDescent="0.25">
      <c r="A702">
        <v>2021</v>
      </c>
      <c r="B702" t="s">
        <v>27</v>
      </c>
      <c r="C702">
        <v>2023</v>
      </c>
      <c r="D702">
        <v>219.44</v>
      </c>
      <c r="E702">
        <v>8</v>
      </c>
      <c r="F702">
        <v>672287.74</v>
      </c>
      <c r="G702">
        <v>295.58</v>
      </c>
      <c r="H702" s="2"/>
    </row>
    <row r="703" spans="1:8" hidden="1" x14ac:dyDescent="0.25">
      <c r="A703">
        <v>2021</v>
      </c>
      <c r="B703" t="s">
        <v>27</v>
      </c>
      <c r="C703">
        <v>2024</v>
      </c>
      <c r="D703">
        <v>918.34</v>
      </c>
      <c r="E703">
        <v>27</v>
      </c>
      <c r="F703">
        <v>656414.82999999996</v>
      </c>
      <c r="G703">
        <v>291.23</v>
      </c>
      <c r="H703" s="2"/>
    </row>
    <row r="704" spans="1:8" hidden="1" x14ac:dyDescent="0.25">
      <c r="A704">
        <v>2021</v>
      </c>
      <c r="B704" t="s">
        <v>28</v>
      </c>
      <c r="C704">
        <v>2019</v>
      </c>
      <c r="D704">
        <v>405.36</v>
      </c>
      <c r="E704">
        <v>23</v>
      </c>
      <c r="F704">
        <v>743353.01</v>
      </c>
      <c r="G704">
        <v>242.36</v>
      </c>
      <c r="H704" s="2">
        <f t="shared" ref="H704" si="115">SUM(E704:E709)</f>
        <v>80</v>
      </c>
    </row>
    <row r="705" spans="1:8" hidden="1" x14ac:dyDescent="0.25">
      <c r="A705">
        <v>2021</v>
      </c>
      <c r="B705" t="s">
        <v>28</v>
      </c>
      <c r="C705">
        <v>2020</v>
      </c>
      <c r="D705">
        <v>131.88999999999999</v>
      </c>
      <c r="E705">
        <v>15</v>
      </c>
      <c r="F705">
        <v>740245.38</v>
      </c>
      <c r="G705">
        <v>243.59</v>
      </c>
      <c r="H705" s="2"/>
    </row>
    <row r="706" spans="1:8" hidden="1" x14ac:dyDescent="0.25">
      <c r="A706">
        <v>2021</v>
      </c>
      <c r="B706" t="s">
        <v>28</v>
      </c>
      <c r="C706">
        <v>2021</v>
      </c>
      <c r="D706">
        <v>71.14</v>
      </c>
      <c r="E706">
        <v>10</v>
      </c>
      <c r="F706">
        <v>713785.39</v>
      </c>
      <c r="G706">
        <v>241.74</v>
      </c>
      <c r="H706" s="2"/>
    </row>
    <row r="707" spans="1:8" hidden="1" x14ac:dyDescent="0.25">
      <c r="A707">
        <v>2021</v>
      </c>
      <c r="B707" t="s">
        <v>28</v>
      </c>
      <c r="C707">
        <v>2022</v>
      </c>
      <c r="D707">
        <v>528.82000000000005</v>
      </c>
      <c r="E707">
        <v>22</v>
      </c>
      <c r="F707">
        <v>721734.19</v>
      </c>
      <c r="G707">
        <v>242.78</v>
      </c>
      <c r="H707" s="2"/>
    </row>
    <row r="708" spans="1:8" hidden="1" x14ac:dyDescent="0.25">
      <c r="A708">
        <v>2021</v>
      </c>
      <c r="B708" t="s">
        <v>28</v>
      </c>
      <c r="C708">
        <v>2023</v>
      </c>
      <c r="D708">
        <v>42.18</v>
      </c>
      <c r="E708">
        <v>5</v>
      </c>
      <c r="F708">
        <v>736587.12</v>
      </c>
      <c r="G708">
        <v>244.97</v>
      </c>
      <c r="H708" s="2"/>
    </row>
    <row r="709" spans="1:8" hidden="1" x14ac:dyDescent="0.25">
      <c r="A709">
        <v>2021</v>
      </c>
      <c r="B709" t="s">
        <v>28</v>
      </c>
      <c r="C709">
        <v>2024</v>
      </c>
      <c r="D709">
        <v>36.51</v>
      </c>
      <c r="E709">
        <v>5</v>
      </c>
      <c r="F709">
        <v>720925.24</v>
      </c>
      <c r="G709">
        <v>244.9</v>
      </c>
      <c r="H709" s="2"/>
    </row>
    <row r="710" spans="1:8" hidden="1" x14ac:dyDescent="0.25">
      <c r="A710">
        <v>2021</v>
      </c>
      <c r="B710" t="s">
        <v>29</v>
      </c>
      <c r="C710">
        <v>2019</v>
      </c>
      <c r="D710">
        <v>73.94</v>
      </c>
      <c r="E710">
        <v>10</v>
      </c>
      <c r="F710">
        <v>927290.73</v>
      </c>
      <c r="G710">
        <v>315.89999999999998</v>
      </c>
      <c r="H710" s="2">
        <f t="shared" ref="H710" si="116">SUM(E710:E715)</f>
        <v>90</v>
      </c>
    </row>
    <row r="711" spans="1:8" hidden="1" x14ac:dyDescent="0.25">
      <c r="A711">
        <v>2021</v>
      </c>
      <c r="B711" t="s">
        <v>29</v>
      </c>
      <c r="C711">
        <v>2020</v>
      </c>
      <c r="D711">
        <v>235.6</v>
      </c>
      <c r="E711">
        <v>17</v>
      </c>
      <c r="F711">
        <v>890527.88</v>
      </c>
      <c r="G711">
        <v>313.92</v>
      </c>
      <c r="H711" s="2"/>
    </row>
    <row r="712" spans="1:8" hidden="1" x14ac:dyDescent="0.25">
      <c r="A712">
        <v>2021</v>
      </c>
      <c r="B712" t="s">
        <v>29</v>
      </c>
      <c r="C712">
        <v>2021</v>
      </c>
      <c r="D712">
        <v>454.3</v>
      </c>
      <c r="E712">
        <v>13</v>
      </c>
      <c r="F712">
        <v>882124.14</v>
      </c>
      <c r="G712">
        <v>313.61</v>
      </c>
      <c r="H712" s="2"/>
    </row>
    <row r="713" spans="1:8" hidden="1" x14ac:dyDescent="0.25">
      <c r="A713">
        <v>2021</v>
      </c>
      <c r="B713" t="s">
        <v>29</v>
      </c>
      <c r="C713">
        <v>2022</v>
      </c>
      <c r="D713">
        <v>1312.55</v>
      </c>
      <c r="E713">
        <v>30</v>
      </c>
      <c r="F713">
        <v>876268.36</v>
      </c>
      <c r="G713">
        <v>310.27999999999997</v>
      </c>
      <c r="H713" s="2"/>
    </row>
    <row r="714" spans="1:8" hidden="1" x14ac:dyDescent="0.25">
      <c r="A714">
        <v>2021</v>
      </c>
      <c r="B714" t="s">
        <v>29</v>
      </c>
      <c r="C714">
        <v>2023</v>
      </c>
      <c r="D714">
        <v>39.409999999999997</v>
      </c>
      <c r="E714">
        <v>7</v>
      </c>
      <c r="F714">
        <v>906111.82</v>
      </c>
      <c r="G714">
        <v>316.54000000000002</v>
      </c>
      <c r="H714" s="2"/>
    </row>
    <row r="715" spans="1:8" hidden="1" x14ac:dyDescent="0.25">
      <c r="A715">
        <v>2021</v>
      </c>
      <c r="B715" t="s">
        <v>29</v>
      </c>
      <c r="C715">
        <v>2024</v>
      </c>
      <c r="D715">
        <v>198.45</v>
      </c>
      <c r="E715">
        <v>13</v>
      </c>
      <c r="F715">
        <v>882277.16</v>
      </c>
      <c r="G715">
        <v>314.69</v>
      </c>
      <c r="H715" s="2"/>
    </row>
    <row r="716" spans="1:8" hidden="1" x14ac:dyDescent="0.25">
      <c r="A716">
        <v>2021</v>
      </c>
      <c r="B716" t="s">
        <v>30</v>
      </c>
      <c r="C716">
        <v>2019</v>
      </c>
      <c r="D716">
        <v>85.41</v>
      </c>
      <c r="E716">
        <v>12</v>
      </c>
      <c r="F716">
        <v>700369.48</v>
      </c>
      <c r="G716">
        <v>264.24</v>
      </c>
      <c r="H716" s="2">
        <f t="shared" ref="H716" si="117">SUM(E716:E721)</f>
        <v>60</v>
      </c>
    </row>
    <row r="717" spans="1:8" hidden="1" x14ac:dyDescent="0.25">
      <c r="A717">
        <v>2021</v>
      </c>
      <c r="B717" t="s">
        <v>30</v>
      </c>
      <c r="C717">
        <v>2020</v>
      </c>
      <c r="D717">
        <v>170.85</v>
      </c>
      <c r="E717">
        <v>12</v>
      </c>
      <c r="F717">
        <v>696525.61</v>
      </c>
      <c r="G717">
        <v>264.32</v>
      </c>
      <c r="H717" s="2"/>
    </row>
    <row r="718" spans="1:8" hidden="1" x14ac:dyDescent="0.25">
      <c r="A718">
        <v>2021</v>
      </c>
      <c r="B718" t="s">
        <v>30</v>
      </c>
      <c r="C718">
        <v>2021</v>
      </c>
      <c r="D718">
        <v>97.58</v>
      </c>
      <c r="E718">
        <v>9</v>
      </c>
      <c r="F718">
        <v>672440.16</v>
      </c>
      <c r="G718">
        <v>261.98</v>
      </c>
      <c r="H718" s="2"/>
    </row>
    <row r="719" spans="1:8" hidden="1" x14ac:dyDescent="0.25">
      <c r="A719">
        <v>2021</v>
      </c>
      <c r="B719" t="s">
        <v>30</v>
      </c>
      <c r="C719">
        <v>2022</v>
      </c>
      <c r="D719">
        <v>502.65</v>
      </c>
      <c r="E719">
        <v>13</v>
      </c>
      <c r="F719">
        <v>678571.82</v>
      </c>
      <c r="G719">
        <v>262.79000000000002</v>
      </c>
      <c r="H719" s="2"/>
    </row>
    <row r="720" spans="1:8" hidden="1" x14ac:dyDescent="0.25">
      <c r="A720">
        <v>2021</v>
      </c>
      <c r="B720" t="s">
        <v>30</v>
      </c>
      <c r="C720">
        <v>2023</v>
      </c>
      <c r="D720">
        <v>104.14</v>
      </c>
      <c r="E720">
        <v>7</v>
      </c>
      <c r="F720">
        <v>693038.03</v>
      </c>
      <c r="G720">
        <v>264.8</v>
      </c>
      <c r="H720" s="2"/>
    </row>
    <row r="721" spans="1:8" hidden="1" x14ac:dyDescent="0.25">
      <c r="A721">
        <v>2021</v>
      </c>
      <c r="B721" t="s">
        <v>30</v>
      </c>
      <c r="C721">
        <v>2024</v>
      </c>
      <c r="D721">
        <v>93.96</v>
      </c>
      <c r="E721">
        <v>7</v>
      </c>
      <c r="F721">
        <v>681399.89</v>
      </c>
      <c r="G721">
        <v>265.35000000000002</v>
      </c>
      <c r="H721" s="2"/>
    </row>
    <row r="722" spans="1:8" hidden="1" x14ac:dyDescent="0.25">
      <c r="A722">
        <v>2021</v>
      </c>
      <c r="B722" t="s">
        <v>31</v>
      </c>
      <c r="C722">
        <v>2019</v>
      </c>
      <c r="D722">
        <v>0</v>
      </c>
      <c r="E722">
        <v>0</v>
      </c>
      <c r="F722">
        <v>937123.45</v>
      </c>
      <c r="G722">
        <v>562.04999999999995</v>
      </c>
      <c r="H722" s="2">
        <f t="shared" ref="H722" si="118">SUM(E722:E727)</f>
        <v>73</v>
      </c>
    </row>
    <row r="723" spans="1:8" hidden="1" x14ac:dyDescent="0.25">
      <c r="A723">
        <v>2021</v>
      </c>
      <c r="B723" t="s">
        <v>31</v>
      </c>
      <c r="C723">
        <v>2020</v>
      </c>
      <c r="D723">
        <v>332.76</v>
      </c>
      <c r="E723">
        <v>7</v>
      </c>
      <c r="F723">
        <v>850257.82</v>
      </c>
      <c r="G723">
        <v>546.19000000000005</v>
      </c>
      <c r="H723" s="2"/>
    </row>
    <row r="724" spans="1:8" hidden="1" x14ac:dyDescent="0.25">
      <c r="A724">
        <v>2021</v>
      </c>
      <c r="B724" t="s">
        <v>31</v>
      </c>
      <c r="C724">
        <v>2021</v>
      </c>
      <c r="D724">
        <v>1832</v>
      </c>
      <c r="E724">
        <v>32</v>
      </c>
      <c r="F724">
        <v>875547.86</v>
      </c>
      <c r="G724">
        <v>544.84</v>
      </c>
      <c r="H724" s="2"/>
    </row>
    <row r="725" spans="1:8" hidden="1" x14ac:dyDescent="0.25">
      <c r="A725">
        <v>2021</v>
      </c>
      <c r="B725" t="s">
        <v>31</v>
      </c>
      <c r="C725">
        <v>2022</v>
      </c>
      <c r="D725">
        <v>882.23</v>
      </c>
      <c r="E725">
        <v>18</v>
      </c>
      <c r="F725">
        <v>811285.09</v>
      </c>
      <c r="G725">
        <v>547.52</v>
      </c>
      <c r="H725" s="2"/>
    </row>
    <row r="726" spans="1:8" hidden="1" x14ac:dyDescent="0.25">
      <c r="A726">
        <v>2021</v>
      </c>
      <c r="B726" t="s">
        <v>31</v>
      </c>
      <c r="C726">
        <v>2023</v>
      </c>
      <c r="D726">
        <v>434.94</v>
      </c>
      <c r="E726">
        <v>11</v>
      </c>
      <c r="F726">
        <v>885409.88</v>
      </c>
      <c r="G726">
        <v>556.25</v>
      </c>
      <c r="H726" s="2"/>
    </row>
    <row r="727" spans="1:8" hidden="1" x14ac:dyDescent="0.25">
      <c r="A727">
        <v>2021</v>
      </c>
      <c r="B727" t="s">
        <v>31</v>
      </c>
      <c r="C727">
        <v>2024</v>
      </c>
      <c r="D727">
        <v>185.57</v>
      </c>
      <c r="E727">
        <v>5</v>
      </c>
      <c r="F727">
        <v>892662.92</v>
      </c>
      <c r="G727">
        <v>547.34</v>
      </c>
      <c r="H727" s="2"/>
    </row>
    <row r="728" spans="1:8" hidden="1" x14ac:dyDescent="0.25">
      <c r="A728">
        <v>2021</v>
      </c>
      <c r="B728" t="s">
        <v>32</v>
      </c>
      <c r="C728">
        <v>2019</v>
      </c>
      <c r="D728">
        <v>451.05</v>
      </c>
      <c r="E728">
        <v>9</v>
      </c>
      <c r="F728">
        <v>846876.22</v>
      </c>
      <c r="G728">
        <v>627.58000000000004</v>
      </c>
      <c r="H728" s="2">
        <f t="shared" ref="H728" si="119">SUM(E728:E733)</f>
        <v>33</v>
      </c>
    </row>
    <row r="729" spans="1:8" hidden="1" x14ac:dyDescent="0.25">
      <c r="A729">
        <v>2021</v>
      </c>
      <c r="B729" t="s">
        <v>32</v>
      </c>
      <c r="C729">
        <v>2020</v>
      </c>
      <c r="D729">
        <v>412.17</v>
      </c>
      <c r="E729">
        <v>8</v>
      </c>
      <c r="F729">
        <v>818570.4</v>
      </c>
      <c r="G729">
        <v>620.74</v>
      </c>
      <c r="H729" s="2"/>
    </row>
    <row r="730" spans="1:8" hidden="1" x14ac:dyDescent="0.25">
      <c r="A730">
        <v>2021</v>
      </c>
      <c r="B730" t="s">
        <v>32</v>
      </c>
      <c r="C730">
        <v>2021</v>
      </c>
      <c r="D730">
        <v>220.08</v>
      </c>
      <c r="E730">
        <v>6</v>
      </c>
      <c r="F730">
        <v>837340.22</v>
      </c>
      <c r="G730">
        <v>614.63</v>
      </c>
      <c r="H730" s="2"/>
    </row>
    <row r="731" spans="1:8" hidden="1" x14ac:dyDescent="0.25">
      <c r="A731">
        <v>2021</v>
      </c>
      <c r="B731" t="s">
        <v>32</v>
      </c>
      <c r="C731">
        <v>2022</v>
      </c>
      <c r="D731">
        <v>68.61</v>
      </c>
      <c r="E731">
        <v>3</v>
      </c>
      <c r="F731">
        <v>855929.17</v>
      </c>
      <c r="G731">
        <v>624.45000000000005</v>
      </c>
      <c r="H731" s="2"/>
    </row>
    <row r="732" spans="1:8" hidden="1" x14ac:dyDescent="0.25">
      <c r="A732">
        <v>2021</v>
      </c>
      <c r="B732" t="s">
        <v>32</v>
      </c>
      <c r="C732">
        <v>2023</v>
      </c>
      <c r="D732">
        <v>299.2</v>
      </c>
      <c r="E732">
        <v>7</v>
      </c>
      <c r="F732">
        <v>855358.25</v>
      </c>
      <c r="G732">
        <v>626.55999999999995</v>
      </c>
      <c r="H732" s="2"/>
    </row>
    <row r="733" spans="1:8" hidden="1" x14ac:dyDescent="0.25">
      <c r="A733">
        <v>2021</v>
      </c>
      <c r="B733" t="s">
        <v>32</v>
      </c>
      <c r="C733">
        <v>2024</v>
      </c>
      <c r="D733">
        <v>0</v>
      </c>
      <c r="E733">
        <v>0</v>
      </c>
      <c r="F733">
        <v>856211.71</v>
      </c>
      <c r="G733">
        <v>628.35</v>
      </c>
      <c r="H733" s="2"/>
    </row>
    <row r="734" spans="1:8" hidden="1" x14ac:dyDescent="0.25">
      <c r="A734">
        <v>2021</v>
      </c>
      <c r="B734" t="s">
        <v>33</v>
      </c>
      <c r="C734">
        <v>2019</v>
      </c>
      <c r="D734">
        <v>305.29000000000002</v>
      </c>
      <c r="E734">
        <v>5</v>
      </c>
      <c r="F734">
        <v>909791.26</v>
      </c>
      <c r="G734">
        <v>415.37</v>
      </c>
      <c r="H734" s="2">
        <f t="shared" ref="H734" si="120">SUM(E734:E739)</f>
        <v>86</v>
      </c>
    </row>
    <row r="735" spans="1:8" hidden="1" x14ac:dyDescent="0.25">
      <c r="A735">
        <v>2021</v>
      </c>
      <c r="B735" t="s">
        <v>33</v>
      </c>
      <c r="C735">
        <v>2020</v>
      </c>
      <c r="D735">
        <v>491.98</v>
      </c>
      <c r="E735">
        <v>9</v>
      </c>
      <c r="F735">
        <v>881195.95</v>
      </c>
      <c r="G735">
        <v>408.85</v>
      </c>
      <c r="H735" s="2"/>
    </row>
    <row r="736" spans="1:8" hidden="1" x14ac:dyDescent="0.25">
      <c r="A736">
        <v>2021</v>
      </c>
      <c r="B736" t="s">
        <v>33</v>
      </c>
      <c r="C736">
        <v>2021</v>
      </c>
      <c r="D736">
        <v>534</v>
      </c>
      <c r="E736">
        <v>11</v>
      </c>
      <c r="F736">
        <v>900751.32</v>
      </c>
      <c r="G736">
        <v>411.25</v>
      </c>
      <c r="H736" s="2"/>
    </row>
    <row r="737" spans="1:8" hidden="1" x14ac:dyDescent="0.25">
      <c r="A737">
        <v>2021</v>
      </c>
      <c r="B737" t="s">
        <v>33</v>
      </c>
      <c r="C737">
        <v>2022</v>
      </c>
      <c r="D737">
        <v>798.49</v>
      </c>
      <c r="E737">
        <v>18</v>
      </c>
      <c r="F737">
        <v>881779.17</v>
      </c>
      <c r="G737">
        <v>408.62</v>
      </c>
      <c r="H737" s="2"/>
    </row>
    <row r="738" spans="1:8" hidden="1" x14ac:dyDescent="0.25">
      <c r="A738">
        <v>2021</v>
      </c>
      <c r="B738" t="s">
        <v>33</v>
      </c>
      <c r="C738">
        <v>2023</v>
      </c>
      <c r="D738">
        <v>339.05</v>
      </c>
      <c r="E738">
        <v>6</v>
      </c>
      <c r="F738">
        <v>904804.29</v>
      </c>
      <c r="G738">
        <v>418.58</v>
      </c>
      <c r="H738" s="2"/>
    </row>
    <row r="739" spans="1:8" hidden="1" x14ac:dyDescent="0.25">
      <c r="A739">
        <v>2021</v>
      </c>
      <c r="B739" t="s">
        <v>33</v>
      </c>
      <c r="C739">
        <v>2024</v>
      </c>
      <c r="D739">
        <v>2062.83</v>
      </c>
      <c r="E739">
        <v>37</v>
      </c>
      <c r="F739">
        <v>890397.35</v>
      </c>
      <c r="G739">
        <v>408.3</v>
      </c>
      <c r="H739" s="2"/>
    </row>
    <row r="740" spans="1:8" hidden="1" x14ac:dyDescent="0.25">
      <c r="A740">
        <v>2021</v>
      </c>
      <c r="B740" t="s">
        <v>34</v>
      </c>
      <c r="C740">
        <v>2019</v>
      </c>
      <c r="D740">
        <v>0</v>
      </c>
      <c r="E740">
        <v>0</v>
      </c>
      <c r="F740">
        <v>1125501.31</v>
      </c>
      <c r="G740">
        <v>474.18</v>
      </c>
      <c r="H740" s="2">
        <f t="shared" ref="H740" si="121">SUM(E740:E745)</f>
        <v>54</v>
      </c>
    </row>
    <row r="741" spans="1:8" hidden="1" x14ac:dyDescent="0.25">
      <c r="A741">
        <v>2021</v>
      </c>
      <c r="B741" t="s">
        <v>34</v>
      </c>
      <c r="C741">
        <v>2020</v>
      </c>
      <c r="D741">
        <v>767.17</v>
      </c>
      <c r="E741">
        <v>21</v>
      </c>
      <c r="F741">
        <v>1033784.15</v>
      </c>
      <c r="G741">
        <v>463.54</v>
      </c>
      <c r="H741" s="2"/>
    </row>
    <row r="742" spans="1:8" hidden="1" x14ac:dyDescent="0.25">
      <c r="A742">
        <v>2021</v>
      </c>
      <c r="B742" t="s">
        <v>34</v>
      </c>
      <c r="C742">
        <v>2021</v>
      </c>
      <c r="D742">
        <v>659.06</v>
      </c>
      <c r="E742">
        <v>15</v>
      </c>
      <c r="F742">
        <v>1072770.2</v>
      </c>
      <c r="G742">
        <v>462.38</v>
      </c>
      <c r="H742" s="2"/>
    </row>
    <row r="743" spans="1:8" hidden="1" x14ac:dyDescent="0.25">
      <c r="A743">
        <v>2021</v>
      </c>
      <c r="B743" t="s">
        <v>34</v>
      </c>
      <c r="C743">
        <v>2022</v>
      </c>
      <c r="D743">
        <v>691.71</v>
      </c>
      <c r="E743">
        <v>13</v>
      </c>
      <c r="F743">
        <v>1007416.99</v>
      </c>
      <c r="G743">
        <v>464.98</v>
      </c>
      <c r="H743" s="2"/>
    </row>
    <row r="744" spans="1:8" hidden="1" x14ac:dyDescent="0.25">
      <c r="A744">
        <v>2021</v>
      </c>
      <c r="B744" t="s">
        <v>34</v>
      </c>
      <c r="C744">
        <v>2023</v>
      </c>
      <c r="D744">
        <v>246.58</v>
      </c>
      <c r="E744">
        <v>5</v>
      </c>
      <c r="F744">
        <v>1087239.73</v>
      </c>
      <c r="G744">
        <v>471.35</v>
      </c>
      <c r="H744" s="2"/>
    </row>
    <row r="745" spans="1:8" hidden="1" x14ac:dyDescent="0.25">
      <c r="A745">
        <v>2021</v>
      </c>
      <c r="B745" t="s">
        <v>34</v>
      </c>
      <c r="C745">
        <v>2024</v>
      </c>
      <c r="D745">
        <v>0</v>
      </c>
      <c r="E745">
        <v>0</v>
      </c>
      <c r="F745">
        <v>1083164.94</v>
      </c>
      <c r="G745">
        <v>471.42</v>
      </c>
      <c r="H745" s="2"/>
    </row>
    <row r="746" spans="1:8" hidden="1" x14ac:dyDescent="0.25">
      <c r="A746">
        <v>2021</v>
      </c>
      <c r="B746" t="s">
        <v>35</v>
      </c>
      <c r="C746">
        <v>2019</v>
      </c>
      <c r="D746">
        <v>0</v>
      </c>
      <c r="E746">
        <v>0</v>
      </c>
      <c r="F746">
        <v>1090398.52</v>
      </c>
      <c r="G746">
        <v>421.76</v>
      </c>
      <c r="H746" s="2">
        <f t="shared" ref="H746" si="122">SUM(E746:E751)</f>
        <v>35</v>
      </c>
    </row>
    <row r="747" spans="1:8" hidden="1" x14ac:dyDescent="0.25">
      <c r="A747">
        <v>2021</v>
      </c>
      <c r="B747" t="s">
        <v>35</v>
      </c>
      <c r="C747">
        <v>2020</v>
      </c>
      <c r="D747">
        <v>154.12</v>
      </c>
      <c r="E747">
        <v>4</v>
      </c>
      <c r="F747">
        <v>1032868.04</v>
      </c>
      <c r="G747">
        <v>413.66</v>
      </c>
      <c r="H747" s="2"/>
    </row>
    <row r="748" spans="1:8" hidden="1" x14ac:dyDescent="0.25">
      <c r="A748">
        <v>2021</v>
      </c>
      <c r="B748" t="s">
        <v>35</v>
      </c>
      <c r="C748">
        <v>2021</v>
      </c>
      <c r="D748">
        <v>352.11</v>
      </c>
      <c r="E748">
        <v>11</v>
      </c>
      <c r="F748">
        <v>1068024.3200000001</v>
      </c>
      <c r="G748">
        <v>413.04</v>
      </c>
      <c r="H748" s="2"/>
    </row>
    <row r="749" spans="1:8" hidden="1" x14ac:dyDescent="0.25">
      <c r="A749">
        <v>2021</v>
      </c>
      <c r="B749" t="s">
        <v>35</v>
      </c>
      <c r="C749">
        <v>2022</v>
      </c>
      <c r="D749">
        <v>0</v>
      </c>
      <c r="E749">
        <v>0</v>
      </c>
      <c r="F749">
        <v>1052100.57</v>
      </c>
      <c r="G749">
        <v>419.08</v>
      </c>
      <c r="H749" s="2"/>
    </row>
    <row r="750" spans="1:8" hidden="1" x14ac:dyDescent="0.25">
      <c r="A750">
        <v>2021</v>
      </c>
      <c r="B750" t="s">
        <v>35</v>
      </c>
      <c r="C750">
        <v>2023</v>
      </c>
      <c r="D750">
        <v>211.73</v>
      </c>
      <c r="E750">
        <v>3</v>
      </c>
      <c r="F750">
        <v>1075496.1299999999</v>
      </c>
      <c r="G750">
        <v>420.37</v>
      </c>
      <c r="H750" s="2"/>
    </row>
    <row r="751" spans="1:8" hidden="1" x14ac:dyDescent="0.25">
      <c r="A751">
        <v>2021</v>
      </c>
      <c r="B751" t="s">
        <v>35</v>
      </c>
      <c r="C751">
        <v>2024</v>
      </c>
      <c r="D751">
        <v>683.8</v>
      </c>
      <c r="E751">
        <v>17</v>
      </c>
      <c r="F751">
        <v>1071361.21</v>
      </c>
      <c r="G751">
        <v>416.01</v>
      </c>
      <c r="H751" s="2"/>
    </row>
    <row r="752" spans="1:8" hidden="1" x14ac:dyDescent="0.25">
      <c r="A752">
        <v>2021</v>
      </c>
      <c r="B752" t="s">
        <v>22</v>
      </c>
      <c r="C752">
        <v>2019</v>
      </c>
      <c r="D752">
        <v>0</v>
      </c>
      <c r="E752">
        <v>0</v>
      </c>
      <c r="F752">
        <v>1212579.1499999999</v>
      </c>
      <c r="G752">
        <v>417.46</v>
      </c>
      <c r="H752" s="2">
        <f t="shared" ref="H752" si="123">SUM(E752:E757)</f>
        <v>26</v>
      </c>
    </row>
    <row r="753" spans="1:8" hidden="1" x14ac:dyDescent="0.25">
      <c r="A753">
        <v>2021</v>
      </c>
      <c r="B753" t="s">
        <v>22</v>
      </c>
      <c r="C753">
        <v>2020</v>
      </c>
      <c r="D753">
        <v>31.82</v>
      </c>
      <c r="E753">
        <v>1</v>
      </c>
      <c r="F753">
        <v>1116284.3700000001</v>
      </c>
      <c r="G753">
        <v>410.54</v>
      </c>
      <c r="H753" s="2"/>
    </row>
    <row r="754" spans="1:8" hidden="1" x14ac:dyDescent="0.25">
      <c r="A754">
        <v>2021</v>
      </c>
      <c r="B754" t="s">
        <v>22</v>
      </c>
      <c r="C754">
        <v>2021</v>
      </c>
      <c r="D754">
        <v>230.96</v>
      </c>
      <c r="E754">
        <v>6</v>
      </c>
      <c r="F754">
        <v>1160606.5</v>
      </c>
      <c r="G754">
        <v>408.56</v>
      </c>
      <c r="H754" s="2"/>
    </row>
    <row r="755" spans="1:8" hidden="1" x14ac:dyDescent="0.25">
      <c r="A755">
        <v>2021</v>
      </c>
      <c r="B755" t="s">
        <v>22</v>
      </c>
      <c r="C755">
        <v>2022</v>
      </c>
      <c r="D755">
        <v>625.52</v>
      </c>
      <c r="E755">
        <v>12</v>
      </c>
      <c r="F755">
        <v>1098400.6200000001</v>
      </c>
      <c r="G755">
        <v>410.7</v>
      </c>
      <c r="H755" s="2"/>
    </row>
    <row r="756" spans="1:8" hidden="1" x14ac:dyDescent="0.25">
      <c r="A756">
        <v>2021</v>
      </c>
      <c r="B756" t="s">
        <v>22</v>
      </c>
      <c r="C756">
        <v>2023</v>
      </c>
      <c r="D756">
        <v>169.65</v>
      </c>
      <c r="E756">
        <v>5</v>
      </c>
      <c r="F756">
        <v>1174600.95</v>
      </c>
      <c r="G756">
        <v>415.64</v>
      </c>
      <c r="H756" s="2"/>
    </row>
    <row r="757" spans="1:8" hidden="1" x14ac:dyDescent="0.25">
      <c r="A757">
        <v>2021</v>
      </c>
      <c r="B757" t="s">
        <v>22</v>
      </c>
      <c r="C757">
        <v>2024</v>
      </c>
      <c r="D757">
        <v>139.63999999999999</v>
      </c>
      <c r="E757">
        <v>2</v>
      </c>
      <c r="F757">
        <v>1171508.4099999999</v>
      </c>
      <c r="G757">
        <v>413.5</v>
      </c>
      <c r="H757" s="2"/>
    </row>
    <row r="758" spans="1:8" hidden="1" x14ac:dyDescent="0.25">
      <c r="A758">
        <v>2021</v>
      </c>
      <c r="B758" t="s">
        <v>36</v>
      </c>
      <c r="C758">
        <v>2019</v>
      </c>
      <c r="D758">
        <v>17.13</v>
      </c>
      <c r="E758">
        <v>1</v>
      </c>
      <c r="F758">
        <v>1271316.1599999999</v>
      </c>
      <c r="G758">
        <v>426.92</v>
      </c>
      <c r="H758" s="2">
        <f t="shared" ref="H758" si="124">SUM(E758:E763)</f>
        <v>43</v>
      </c>
    </row>
    <row r="759" spans="1:8" hidden="1" x14ac:dyDescent="0.25">
      <c r="A759">
        <v>2021</v>
      </c>
      <c r="B759" t="s">
        <v>36</v>
      </c>
      <c r="C759">
        <v>2020</v>
      </c>
      <c r="D759">
        <v>289.5</v>
      </c>
      <c r="E759">
        <v>5</v>
      </c>
      <c r="F759">
        <v>1158186.46</v>
      </c>
      <c r="G759">
        <v>419.4</v>
      </c>
      <c r="H759" s="2"/>
    </row>
    <row r="760" spans="1:8" hidden="1" x14ac:dyDescent="0.25">
      <c r="A760">
        <v>2021</v>
      </c>
      <c r="B760" t="s">
        <v>36</v>
      </c>
      <c r="C760">
        <v>2021</v>
      </c>
      <c r="D760">
        <v>986.72</v>
      </c>
      <c r="E760">
        <v>22</v>
      </c>
      <c r="F760">
        <v>1206489.71</v>
      </c>
      <c r="G760">
        <v>418.21</v>
      </c>
      <c r="H760" s="2"/>
    </row>
    <row r="761" spans="1:8" hidden="1" x14ac:dyDescent="0.25">
      <c r="A761">
        <v>2021</v>
      </c>
      <c r="B761" t="s">
        <v>36</v>
      </c>
      <c r="C761">
        <v>2022</v>
      </c>
      <c r="D761">
        <v>50.48</v>
      </c>
      <c r="E761">
        <v>1</v>
      </c>
      <c r="F761">
        <v>1127728.04</v>
      </c>
      <c r="G761">
        <v>420.91</v>
      </c>
      <c r="H761" s="2"/>
    </row>
    <row r="762" spans="1:8" hidden="1" x14ac:dyDescent="0.25">
      <c r="A762">
        <v>2021</v>
      </c>
      <c r="B762" t="s">
        <v>36</v>
      </c>
      <c r="C762">
        <v>2023</v>
      </c>
      <c r="D762">
        <v>451.6</v>
      </c>
      <c r="E762">
        <v>12</v>
      </c>
      <c r="F762">
        <v>1221216.97</v>
      </c>
      <c r="G762">
        <v>423.65</v>
      </c>
      <c r="H762" s="2"/>
    </row>
    <row r="763" spans="1:8" hidden="1" x14ac:dyDescent="0.25">
      <c r="A763">
        <v>2021</v>
      </c>
      <c r="B763" t="s">
        <v>36</v>
      </c>
      <c r="C763">
        <v>2024</v>
      </c>
      <c r="D763">
        <v>83.81</v>
      </c>
      <c r="E763">
        <v>2</v>
      </c>
      <c r="F763">
        <v>1231638.77</v>
      </c>
      <c r="G763">
        <v>422.4</v>
      </c>
      <c r="H763" s="2"/>
    </row>
    <row r="764" spans="1:8" hidden="1" x14ac:dyDescent="0.25">
      <c r="A764">
        <v>2021</v>
      </c>
      <c r="B764" t="s">
        <v>37</v>
      </c>
      <c r="C764">
        <v>2019</v>
      </c>
      <c r="D764">
        <v>24.82</v>
      </c>
      <c r="E764">
        <v>1</v>
      </c>
      <c r="F764">
        <v>943154.5</v>
      </c>
      <c r="G764">
        <v>502.85</v>
      </c>
      <c r="H764" s="2">
        <f t="shared" ref="H764" si="125">SUM(E764:E769)</f>
        <v>108</v>
      </c>
    </row>
    <row r="765" spans="1:8" hidden="1" x14ac:dyDescent="0.25">
      <c r="A765">
        <v>2021</v>
      </c>
      <c r="B765" t="s">
        <v>37</v>
      </c>
      <c r="C765">
        <v>2020</v>
      </c>
      <c r="D765">
        <v>976.54</v>
      </c>
      <c r="E765">
        <v>22</v>
      </c>
      <c r="F765">
        <v>854066.86</v>
      </c>
      <c r="G765">
        <v>487.68</v>
      </c>
      <c r="H765" s="2"/>
    </row>
    <row r="766" spans="1:8" hidden="1" x14ac:dyDescent="0.25">
      <c r="A766">
        <v>2021</v>
      </c>
      <c r="B766" t="s">
        <v>37</v>
      </c>
      <c r="C766">
        <v>2021</v>
      </c>
      <c r="D766">
        <v>2009.48</v>
      </c>
      <c r="E766">
        <v>34</v>
      </c>
      <c r="F766">
        <v>881119.74</v>
      </c>
      <c r="G766">
        <v>487.71</v>
      </c>
      <c r="H766" s="2"/>
    </row>
    <row r="767" spans="1:8" hidden="1" x14ac:dyDescent="0.25">
      <c r="A767">
        <v>2021</v>
      </c>
      <c r="B767" t="s">
        <v>37</v>
      </c>
      <c r="C767">
        <v>2022</v>
      </c>
      <c r="D767">
        <v>1169.92</v>
      </c>
      <c r="E767">
        <v>24</v>
      </c>
      <c r="F767">
        <v>810419.19</v>
      </c>
      <c r="G767">
        <v>488.76</v>
      </c>
      <c r="H767" s="2"/>
    </row>
    <row r="768" spans="1:8" hidden="1" x14ac:dyDescent="0.25">
      <c r="A768">
        <v>2021</v>
      </c>
      <c r="B768" t="s">
        <v>37</v>
      </c>
      <c r="C768">
        <v>2023</v>
      </c>
      <c r="D768">
        <v>525.29</v>
      </c>
      <c r="E768">
        <v>12</v>
      </c>
      <c r="F768">
        <v>895120.84</v>
      </c>
      <c r="G768">
        <v>498.48</v>
      </c>
      <c r="H768" s="2"/>
    </row>
    <row r="769" spans="1:9" hidden="1" x14ac:dyDescent="0.25">
      <c r="A769">
        <v>2021</v>
      </c>
      <c r="B769" t="s">
        <v>37</v>
      </c>
      <c r="C769">
        <v>2024</v>
      </c>
      <c r="D769">
        <v>689.49</v>
      </c>
      <c r="E769">
        <v>15</v>
      </c>
      <c r="F769">
        <v>894886.40000000002</v>
      </c>
      <c r="G769">
        <v>485.61</v>
      </c>
      <c r="H769" s="2"/>
    </row>
    <row r="770" spans="1:9" x14ac:dyDescent="0.25">
      <c r="A770">
        <v>2021</v>
      </c>
      <c r="B770" t="s">
        <v>38</v>
      </c>
      <c r="C770">
        <v>2019</v>
      </c>
      <c r="D770">
        <v>28.71</v>
      </c>
      <c r="E770">
        <v>1</v>
      </c>
      <c r="F770">
        <v>998751.09</v>
      </c>
      <c r="G770">
        <v>495.68</v>
      </c>
      <c r="H770" s="2">
        <f t="shared" ref="H770" si="126">SUM(E770:E775)</f>
        <v>53</v>
      </c>
      <c r="I770" s="1">
        <v>2021</v>
      </c>
    </row>
    <row r="771" spans="1:9" x14ac:dyDescent="0.25">
      <c r="A771">
        <v>2021</v>
      </c>
      <c r="B771" t="s">
        <v>38</v>
      </c>
      <c r="C771">
        <v>2020</v>
      </c>
      <c r="D771">
        <v>572.82000000000005</v>
      </c>
      <c r="E771">
        <v>11</v>
      </c>
      <c r="F771">
        <v>917407.06</v>
      </c>
      <c r="G771">
        <v>481.96</v>
      </c>
      <c r="H771" s="2"/>
      <c r="I771" s="1"/>
    </row>
    <row r="772" spans="1:9" x14ac:dyDescent="0.25">
      <c r="A772">
        <v>2021</v>
      </c>
      <c r="B772" t="s">
        <v>38</v>
      </c>
      <c r="C772">
        <v>2021</v>
      </c>
      <c r="D772">
        <v>1043.26</v>
      </c>
      <c r="E772">
        <v>20</v>
      </c>
      <c r="F772">
        <v>960792.88</v>
      </c>
      <c r="G772">
        <v>480.85</v>
      </c>
      <c r="H772" s="2"/>
      <c r="I772" s="1"/>
    </row>
    <row r="773" spans="1:9" x14ac:dyDescent="0.25">
      <c r="A773">
        <v>2021</v>
      </c>
      <c r="B773" t="s">
        <v>38</v>
      </c>
      <c r="C773">
        <v>2022</v>
      </c>
      <c r="D773">
        <v>244.96</v>
      </c>
      <c r="E773">
        <v>4</v>
      </c>
      <c r="F773">
        <v>920713.37</v>
      </c>
      <c r="G773">
        <v>487.75</v>
      </c>
      <c r="H773" s="2"/>
      <c r="I773" s="1"/>
    </row>
    <row r="774" spans="1:9" x14ac:dyDescent="0.25">
      <c r="A774">
        <v>2021</v>
      </c>
      <c r="B774" t="s">
        <v>38</v>
      </c>
      <c r="C774">
        <v>2023</v>
      </c>
      <c r="D774">
        <v>514.11</v>
      </c>
      <c r="E774">
        <v>14</v>
      </c>
      <c r="F774">
        <v>975986.49</v>
      </c>
      <c r="G774">
        <v>490.16</v>
      </c>
      <c r="H774" s="2"/>
      <c r="I774" s="1"/>
    </row>
    <row r="775" spans="1:9" x14ac:dyDescent="0.25">
      <c r="A775">
        <v>2021</v>
      </c>
      <c r="B775" t="s">
        <v>38</v>
      </c>
      <c r="C775">
        <v>2024</v>
      </c>
      <c r="D775">
        <v>125.82</v>
      </c>
      <c r="E775">
        <v>3</v>
      </c>
      <c r="F775">
        <v>985910.4</v>
      </c>
      <c r="G775">
        <v>491.5</v>
      </c>
      <c r="H775" s="2"/>
      <c r="I775" s="1"/>
    </row>
    <row r="776" spans="1:9" hidden="1" x14ac:dyDescent="0.25">
      <c r="A776">
        <v>2021</v>
      </c>
      <c r="B776" t="s">
        <v>39</v>
      </c>
      <c r="C776">
        <v>2019</v>
      </c>
      <c r="D776">
        <v>305.29000000000002</v>
      </c>
      <c r="E776">
        <v>5</v>
      </c>
      <c r="F776">
        <v>909791.26</v>
      </c>
      <c r="G776">
        <v>415.37</v>
      </c>
      <c r="H776" s="2">
        <f t="shared" ref="H776" si="127">SUM(E776:E781)</f>
        <v>86</v>
      </c>
    </row>
    <row r="777" spans="1:9" hidden="1" x14ac:dyDescent="0.25">
      <c r="A777">
        <v>2021</v>
      </c>
      <c r="B777" t="s">
        <v>39</v>
      </c>
      <c r="C777">
        <v>2020</v>
      </c>
      <c r="D777">
        <v>491.98</v>
      </c>
      <c r="E777">
        <v>9</v>
      </c>
      <c r="F777">
        <v>881195.95</v>
      </c>
      <c r="G777">
        <v>408.85</v>
      </c>
      <c r="H777" s="2"/>
    </row>
    <row r="778" spans="1:9" hidden="1" x14ac:dyDescent="0.25">
      <c r="A778">
        <v>2021</v>
      </c>
      <c r="B778" t="s">
        <v>39</v>
      </c>
      <c r="C778">
        <v>2021</v>
      </c>
      <c r="D778">
        <v>534</v>
      </c>
      <c r="E778">
        <v>11</v>
      </c>
      <c r="F778">
        <v>900751.32</v>
      </c>
      <c r="G778">
        <v>411.25</v>
      </c>
      <c r="H778" s="2"/>
    </row>
    <row r="779" spans="1:9" hidden="1" x14ac:dyDescent="0.25">
      <c r="A779">
        <v>2021</v>
      </c>
      <c r="B779" t="s">
        <v>39</v>
      </c>
      <c r="C779">
        <v>2022</v>
      </c>
      <c r="D779">
        <v>798.49</v>
      </c>
      <c r="E779">
        <v>18</v>
      </c>
      <c r="F779">
        <v>881779.17</v>
      </c>
      <c r="G779">
        <v>408.62</v>
      </c>
      <c r="H779" s="2"/>
    </row>
    <row r="780" spans="1:9" hidden="1" x14ac:dyDescent="0.25">
      <c r="A780">
        <v>2021</v>
      </c>
      <c r="B780" t="s">
        <v>39</v>
      </c>
      <c r="C780">
        <v>2023</v>
      </c>
      <c r="D780">
        <v>339.05</v>
      </c>
      <c r="E780">
        <v>6</v>
      </c>
      <c r="F780">
        <v>904804.29</v>
      </c>
      <c r="G780">
        <v>418.58</v>
      </c>
      <c r="H780" s="2"/>
    </row>
    <row r="781" spans="1:9" hidden="1" x14ac:dyDescent="0.25">
      <c r="A781">
        <v>2021</v>
      </c>
      <c r="B781" t="s">
        <v>39</v>
      </c>
      <c r="C781">
        <v>2024</v>
      </c>
      <c r="D781">
        <v>2062.83</v>
      </c>
      <c r="E781">
        <v>37</v>
      </c>
      <c r="F781">
        <v>890397.35</v>
      </c>
      <c r="G781">
        <v>408.3</v>
      </c>
      <c r="H781" s="2"/>
    </row>
    <row r="782" spans="1:9" hidden="1" x14ac:dyDescent="0.25">
      <c r="A782">
        <v>2021</v>
      </c>
      <c r="B782" t="s">
        <v>40</v>
      </c>
      <c r="C782">
        <v>2019</v>
      </c>
      <c r="D782">
        <v>179.79</v>
      </c>
      <c r="E782">
        <v>3</v>
      </c>
      <c r="F782">
        <v>765561.01</v>
      </c>
      <c r="G782">
        <v>657.26</v>
      </c>
      <c r="H782" s="2">
        <f t="shared" ref="H782" si="128">SUM(E782:E787)</f>
        <v>71</v>
      </c>
    </row>
    <row r="783" spans="1:9" hidden="1" x14ac:dyDescent="0.25">
      <c r="A783">
        <v>2021</v>
      </c>
      <c r="B783" t="s">
        <v>40</v>
      </c>
      <c r="C783">
        <v>2020</v>
      </c>
      <c r="D783">
        <v>1192.97</v>
      </c>
      <c r="E783">
        <v>25</v>
      </c>
      <c r="F783">
        <v>751381.48</v>
      </c>
      <c r="G783">
        <v>645.65</v>
      </c>
      <c r="H783" s="2"/>
    </row>
    <row r="784" spans="1:9" hidden="1" x14ac:dyDescent="0.25">
      <c r="A784">
        <v>2021</v>
      </c>
      <c r="B784" t="s">
        <v>40</v>
      </c>
      <c r="C784">
        <v>2021</v>
      </c>
      <c r="D784">
        <v>111.6</v>
      </c>
      <c r="E784">
        <v>5</v>
      </c>
      <c r="F784">
        <v>768872.1</v>
      </c>
      <c r="G784">
        <v>658.71</v>
      </c>
      <c r="H784" s="2"/>
    </row>
    <row r="785" spans="1:8" hidden="1" x14ac:dyDescent="0.25">
      <c r="A785">
        <v>2021</v>
      </c>
      <c r="B785" t="s">
        <v>40</v>
      </c>
      <c r="C785">
        <v>2022</v>
      </c>
      <c r="D785">
        <v>460.07</v>
      </c>
      <c r="E785">
        <v>9</v>
      </c>
      <c r="F785">
        <v>749699.44</v>
      </c>
      <c r="G785">
        <v>649.28</v>
      </c>
      <c r="H785" s="2"/>
    </row>
    <row r="786" spans="1:8" hidden="1" x14ac:dyDescent="0.25">
      <c r="A786">
        <v>2021</v>
      </c>
      <c r="B786" t="s">
        <v>40</v>
      </c>
      <c r="C786">
        <v>2023</v>
      </c>
      <c r="D786">
        <v>783.73</v>
      </c>
      <c r="E786">
        <v>16</v>
      </c>
      <c r="F786">
        <v>776534.04</v>
      </c>
      <c r="G786">
        <v>660.63</v>
      </c>
      <c r="H786" s="2"/>
    </row>
    <row r="787" spans="1:8" hidden="1" x14ac:dyDescent="0.25">
      <c r="A787">
        <v>2021</v>
      </c>
      <c r="B787" t="s">
        <v>40</v>
      </c>
      <c r="C787">
        <v>2024</v>
      </c>
      <c r="D787">
        <v>456.29</v>
      </c>
      <c r="E787">
        <v>13</v>
      </c>
      <c r="F787">
        <v>735642.78</v>
      </c>
      <c r="G787">
        <v>655.79</v>
      </c>
      <c r="H787" s="2"/>
    </row>
    <row r="788" spans="1:8" hidden="1" x14ac:dyDescent="0.25">
      <c r="A788">
        <v>2021</v>
      </c>
      <c r="B788" t="s">
        <v>41</v>
      </c>
      <c r="C788">
        <v>2019</v>
      </c>
      <c r="D788">
        <v>133.80000000000001</v>
      </c>
      <c r="E788">
        <v>4</v>
      </c>
      <c r="F788">
        <v>611297.61</v>
      </c>
      <c r="G788">
        <v>377.1</v>
      </c>
      <c r="H788" s="2">
        <f t="shared" ref="H788" si="129">SUM(E788:E793)</f>
        <v>93</v>
      </c>
    </row>
    <row r="789" spans="1:8" hidden="1" x14ac:dyDescent="0.25">
      <c r="A789">
        <v>2021</v>
      </c>
      <c r="B789" t="s">
        <v>41</v>
      </c>
      <c r="C789">
        <v>2020</v>
      </c>
      <c r="D789">
        <v>685.79</v>
      </c>
      <c r="E789">
        <v>16</v>
      </c>
      <c r="F789">
        <v>588870.18999999994</v>
      </c>
      <c r="G789">
        <v>369.53</v>
      </c>
      <c r="H789" s="2"/>
    </row>
    <row r="790" spans="1:8" hidden="1" x14ac:dyDescent="0.25">
      <c r="A790">
        <v>2021</v>
      </c>
      <c r="B790" t="s">
        <v>41</v>
      </c>
      <c r="C790">
        <v>2021</v>
      </c>
      <c r="D790">
        <v>67.760000000000005</v>
      </c>
      <c r="E790">
        <v>3</v>
      </c>
      <c r="F790">
        <v>596848.72</v>
      </c>
      <c r="G790">
        <v>372.59</v>
      </c>
      <c r="H790" s="2"/>
    </row>
    <row r="791" spans="1:8" hidden="1" x14ac:dyDescent="0.25">
      <c r="A791">
        <v>2021</v>
      </c>
      <c r="B791" t="s">
        <v>41</v>
      </c>
      <c r="C791">
        <v>2022</v>
      </c>
      <c r="D791">
        <v>576.12</v>
      </c>
      <c r="E791">
        <v>10</v>
      </c>
      <c r="F791">
        <v>573321.29</v>
      </c>
      <c r="G791">
        <v>368.48</v>
      </c>
      <c r="H791" s="2"/>
    </row>
    <row r="792" spans="1:8" hidden="1" x14ac:dyDescent="0.25">
      <c r="A792">
        <v>2021</v>
      </c>
      <c r="B792" t="s">
        <v>41</v>
      </c>
      <c r="C792">
        <v>2023</v>
      </c>
      <c r="D792">
        <v>1385.99</v>
      </c>
      <c r="E792">
        <v>26</v>
      </c>
      <c r="F792">
        <v>598090.51</v>
      </c>
      <c r="G792">
        <v>371.07</v>
      </c>
      <c r="H792" s="2"/>
    </row>
    <row r="793" spans="1:8" hidden="1" x14ac:dyDescent="0.25">
      <c r="A793">
        <v>2021</v>
      </c>
      <c r="B793" t="s">
        <v>41</v>
      </c>
      <c r="C793">
        <v>2024</v>
      </c>
      <c r="D793">
        <v>1498.24</v>
      </c>
      <c r="E793">
        <v>34</v>
      </c>
      <c r="F793">
        <v>590273.27</v>
      </c>
      <c r="G793">
        <v>365.73</v>
      </c>
      <c r="H793" s="2"/>
    </row>
    <row r="794" spans="1:8" hidden="1" x14ac:dyDescent="0.25">
      <c r="A794">
        <v>2021</v>
      </c>
      <c r="B794" t="s">
        <v>42</v>
      </c>
      <c r="C794">
        <v>2019</v>
      </c>
      <c r="D794">
        <v>210.34</v>
      </c>
      <c r="E794">
        <v>8</v>
      </c>
      <c r="F794">
        <v>565614.76</v>
      </c>
      <c r="G794">
        <v>380.01</v>
      </c>
      <c r="H794" s="2">
        <f t="shared" ref="H794" si="130">SUM(E794:E799)</f>
        <v>113</v>
      </c>
    </row>
    <row r="795" spans="1:8" hidden="1" x14ac:dyDescent="0.25">
      <c r="A795">
        <v>2021</v>
      </c>
      <c r="B795" t="s">
        <v>42</v>
      </c>
      <c r="C795">
        <v>2020</v>
      </c>
      <c r="D795">
        <v>952.74</v>
      </c>
      <c r="E795">
        <v>19</v>
      </c>
      <c r="F795">
        <v>546041.72</v>
      </c>
      <c r="G795">
        <v>370.07</v>
      </c>
      <c r="H795" s="2"/>
    </row>
    <row r="796" spans="1:8" hidden="1" x14ac:dyDescent="0.25">
      <c r="A796">
        <v>2021</v>
      </c>
      <c r="B796" t="s">
        <v>42</v>
      </c>
      <c r="C796">
        <v>2021</v>
      </c>
      <c r="D796">
        <v>75.31</v>
      </c>
      <c r="E796">
        <v>3</v>
      </c>
      <c r="F796">
        <v>549955.48</v>
      </c>
      <c r="G796">
        <v>372.4</v>
      </c>
      <c r="H796" s="2"/>
    </row>
    <row r="797" spans="1:8" hidden="1" x14ac:dyDescent="0.25">
      <c r="A797">
        <v>2021</v>
      </c>
      <c r="B797" t="s">
        <v>42</v>
      </c>
      <c r="C797">
        <v>2022</v>
      </c>
      <c r="D797">
        <v>706.56</v>
      </c>
      <c r="E797">
        <v>14</v>
      </c>
      <c r="F797">
        <v>530005.51</v>
      </c>
      <c r="G797">
        <v>366.07</v>
      </c>
      <c r="H797" s="2"/>
    </row>
    <row r="798" spans="1:8" hidden="1" x14ac:dyDescent="0.25">
      <c r="A798">
        <v>2021</v>
      </c>
      <c r="B798" t="s">
        <v>42</v>
      </c>
      <c r="C798">
        <v>2023</v>
      </c>
      <c r="D798">
        <v>1853.14</v>
      </c>
      <c r="E798">
        <v>34</v>
      </c>
      <c r="F798">
        <v>551828.13</v>
      </c>
      <c r="G798">
        <v>370.93</v>
      </c>
      <c r="H798" s="2"/>
    </row>
    <row r="799" spans="1:8" hidden="1" x14ac:dyDescent="0.25">
      <c r="A799">
        <v>2021</v>
      </c>
      <c r="B799" t="s">
        <v>42</v>
      </c>
      <c r="C799">
        <v>2024</v>
      </c>
      <c r="D799">
        <v>1631.13</v>
      </c>
      <c r="E799">
        <v>35</v>
      </c>
      <c r="F799">
        <v>546658.18999999994</v>
      </c>
      <c r="G799">
        <v>366.35</v>
      </c>
      <c r="H799" s="2"/>
    </row>
    <row r="800" spans="1:8" hidden="1" x14ac:dyDescent="0.25">
      <c r="A800">
        <v>2021</v>
      </c>
      <c r="B800" t="s">
        <v>43</v>
      </c>
      <c r="C800">
        <v>2019</v>
      </c>
      <c r="D800">
        <v>120.96</v>
      </c>
      <c r="E800">
        <v>9</v>
      </c>
      <c r="F800">
        <v>839289.69</v>
      </c>
      <c r="G800">
        <v>257.01</v>
      </c>
      <c r="H800" s="2">
        <f t="shared" ref="H800" si="131">SUM(E800:E805)</f>
        <v>95</v>
      </c>
    </row>
    <row r="801" spans="1:8" hidden="1" x14ac:dyDescent="0.25">
      <c r="A801">
        <v>2021</v>
      </c>
      <c r="B801" t="s">
        <v>43</v>
      </c>
      <c r="C801">
        <v>2020</v>
      </c>
      <c r="D801">
        <v>377.98</v>
      </c>
      <c r="E801">
        <v>16</v>
      </c>
      <c r="F801">
        <v>819893.38</v>
      </c>
      <c r="G801">
        <v>255.08</v>
      </c>
      <c r="H801" s="2"/>
    </row>
    <row r="802" spans="1:8" hidden="1" x14ac:dyDescent="0.25">
      <c r="A802">
        <v>2021</v>
      </c>
      <c r="B802" t="s">
        <v>43</v>
      </c>
      <c r="C802">
        <v>2021</v>
      </c>
      <c r="D802">
        <v>267.79000000000002</v>
      </c>
      <c r="E802">
        <v>15</v>
      </c>
      <c r="F802">
        <v>828859.82</v>
      </c>
      <c r="G802">
        <v>255.87</v>
      </c>
      <c r="H802" s="2"/>
    </row>
    <row r="803" spans="1:8" hidden="1" x14ac:dyDescent="0.25">
      <c r="A803">
        <v>2021</v>
      </c>
      <c r="B803" t="s">
        <v>43</v>
      </c>
      <c r="C803">
        <v>2022</v>
      </c>
      <c r="D803">
        <v>112.04</v>
      </c>
      <c r="E803">
        <v>7</v>
      </c>
      <c r="F803">
        <v>812767.49</v>
      </c>
      <c r="G803">
        <v>256.45</v>
      </c>
      <c r="H803" s="2"/>
    </row>
    <row r="804" spans="1:8" hidden="1" x14ac:dyDescent="0.25">
      <c r="A804">
        <v>2021</v>
      </c>
      <c r="B804" t="s">
        <v>43</v>
      </c>
      <c r="C804">
        <v>2023</v>
      </c>
      <c r="D804">
        <v>641.95000000000005</v>
      </c>
      <c r="E804">
        <v>27</v>
      </c>
      <c r="F804">
        <v>835825.84</v>
      </c>
      <c r="G804">
        <v>255.54</v>
      </c>
      <c r="H804" s="2"/>
    </row>
    <row r="805" spans="1:8" hidden="1" x14ac:dyDescent="0.25">
      <c r="A805">
        <v>2021</v>
      </c>
      <c r="B805" t="s">
        <v>43</v>
      </c>
      <c r="C805">
        <v>2024</v>
      </c>
      <c r="D805">
        <v>561.57000000000005</v>
      </c>
      <c r="E805">
        <v>21</v>
      </c>
      <c r="F805">
        <v>825285.12</v>
      </c>
      <c r="G805">
        <v>255.41</v>
      </c>
      <c r="H805" s="2"/>
    </row>
    <row r="806" spans="1:8" hidden="1" x14ac:dyDescent="0.25">
      <c r="A806">
        <v>2021</v>
      </c>
      <c r="B806" t="s">
        <v>44</v>
      </c>
      <c r="C806">
        <v>2019</v>
      </c>
      <c r="D806">
        <v>54.21</v>
      </c>
      <c r="E806">
        <v>1</v>
      </c>
      <c r="F806">
        <v>664640.71</v>
      </c>
      <c r="G806">
        <v>319.99</v>
      </c>
      <c r="H806" s="2">
        <f t="shared" ref="H806" si="132">SUM(E806:E811)</f>
        <v>90</v>
      </c>
    </row>
    <row r="807" spans="1:8" hidden="1" x14ac:dyDescent="0.25">
      <c r="A807">
        <v>2021</v>
      </c>
      <c r="B807" t="s">
        <v>44</v>
      </c>
      <c r="C807">
        <v>2020</v>
      </c>
      <c r="D807">
        <v>658.89</v>
      </c>
      <c r="E807">
        <v>19</v>
      </c>
      <c r="F807">
        <v>645119.14</v>
      </c>
      <c r="G807">
        <v>313.97000000000003</v>
      </c>
      <c r="H807" s="2"/>
    </row>
    <row r="808" spans="1:8" hidden="1" x14ac:dyDescent="0.25">
      <c r="A808">
        <v>2021</v>
      </c>
      <c r="B808" t="s">
        <v>44</v>
      </c>
      <c r="C808">
        <v>2021</v>
      </c>
      <c r="D808">
        <v>60.09</v>
      </c>
      <c r="E808">
        <v>5</v>
      </c>
      <c r="F808">
        <v>646658.59</v>
      </c>
      <c r="G808">
        <v>316.51</v>
      </c>
      <c r="H808" s="2"/>
    </row>
    <row r="809" spans="1:8" hidden="1" x14ac:dyDescent="0.25">
      <c r="A809">
        <v>2021</v>
      </c>
      <c r="B809" t="s">
        <v>44</v>
      </c>
      <c r="C809">
        <v>2022</v>
      </c>
      <c r="D809">
        <v>663.74</v>
      </c>
      <c r="E809">
        <v>16</v>
      </c>
      <c r="F809">
        <v>630711</v>
      </c>
      <c r="G809">
        <v>313.69</v>
      </c>
      <c r="H809" s="2"/>
    </row>
    <row r="810" spans="1:8" hidden="1" x14ac:dyDescent="0.25">
      <c r="A810">
        <v>2021</v>
      </c>
      <c r="B810" t="s">
        <v>44</v>
      </c>
      <c r="C810">
        <v>2023</v>
      </c>
      <c r="D810">
        <v>1246.48</v>
      </c>
      <c r="E810">
        <v>29</v>
      </c>
      <c r="F810">
        <v>653965.53</v>
      </c>
      <c r="G810">
        <v>316.12</v>
      </c>
      <c r="H810" s="2"/>
    </row>
    <row r="811" spans="1:8" hidden="1" x14ac:dyDescent="0.25">
      <c r="A811">
        <v>2021</v>
      </c>
      <c r="B811" t="s">
        <v>44</v>
      </c>
      <c r="C811">
        <v>2024</v>
      </c>
      <c r="D811">
        <v>887.8</v>
      </c>
      <c r="E811">
        <v>20</v>
      </c>
      <c r="F811">
        <v>643712.26</v>
      </c>
      <c r="G811">
        <v>315.38</v>
      </c>
      <c r="H811" s="2"/>
    </row>
    <row r="812" spans="1:8" hidden="1" x14ac:dyDescent="0.25">
      <c r="A812">
        <v>2021</v>
      </c>
      <c r="B812" t="s">
        <v>45</v>
      </c>
      <c r="C812">
        <v>2019</v>
      </c>
      <c r="D812">
        <v>262.08</v>
      </c>
      <c r="E812">
        <v>6</v>
      </c>
      <c r="F812">
        <v>644890.66</v>
      </c>
      <c r="G812">
        <v>490.62</v>
      </c>
      <c r="H812" s="2">
        <f t="shared" ref="H812" si="133">SUM(E812:E817)</f>
        <v>111</v>
      </c>
    </row>
    <row r="813" spans="1:8" hidden="1" x14ac:dyDescent="0.25">
      <c r="A813">
        <v>2021</v>
      </c>
      <c r="B813" t="s">
        <v>45</v>
      </c>
      <c r="C813">
        <v>2020</v>
      </c>
      <c r="D813">
        <v>882.45</v>
      </c>
      <c r="E813">
        <v>19</v>
      </c>
      <c r="F813">
        <v>623876.76</v>
      </c>
      <c r="G813">
        <v>487.31</v>
      </c>
      <c r="H813" s="2"/>
    </row>
    <row r="814" spans="1:8" hidden="1" x14ac:dyDescent="0.25">
      <c r="A814">
        <v>2021</v>
      </c>
      <c r="B814" t="s">
        <v>45</v>
      </c>
      <c r="C814">
        <v>2021</v>
      </c>
      <c r="D814">
        <v>150.13</v>
      </c>
      <c r="E814">
        <v>3</v>
      </c>
      <c r="F814">
        <v>625278.52</v>
      </c>
      <c r="G814">
        <v>485.69</v>
      </c>
      <c r="H814" s="2"/>
    </row>
    <row r="815" spans="1:8" hidden="1" x14ac:dyDescent="0.25">
      <c r="A815">
        <v>2021</v>
      </c>
      <c r="B815" t="s">
        <v>45</v>
      </c>
      <c r="C815">
        <v>2022</v>
      </c>
      <c r="D815">
        <v>1982.51</v>
      </c>
      <c r="E815">
        <v>31</v>
      </c>
      <c r="F815">
        <v>614560.62</v>
      </c>
      <c r="G815">
        <v>483.22</v>
      </c>
      <c r="H815" s="2"/>
    </row>
    <row r="816" spans="1:8" hidden="1" x14ac:dyDescent="0.25">
      <c r="A816">
        <v>2021</v>
      </c>
      <c r="B816" t="s">
        <v>45</v>
      </c>
      <c r="C816">
        <v>2023</v>
      </c>
      <c r="D816">
        <v>1001.48</v>
      </c>
      <c r="E816">
        <v>17</v>
      </c>
      <c r="F816">
        <v>625095.81000000006</v>
      </c>
      <c r="G816">
        <v>488.49</v>
      </c>
      <c r="H816" s="2"/>
    </row>
    <row r="817" spans="1:8" hidden="1" x14ac:dyDescent="0.25">
      <c r="A817">
        <v>2021</v>
      </c>
      <c r="B817" t="s">
        <v>45</v>
      </c>
      <c r="C817">
        <v>2024</v>
      </c>
      <c r="D817">
        <v>2091.9299999999998</v>
      </c>
      <c r="E817">
        <v>35</v>
      </c>
      <c r="F817">
        <v>607209.67000000004</v>
      </c>
      <c r="G817">
        <v>479.73</v>
      </c>
      <c r="H817" s="2"/>
    </row>
    <row r="818" spans="1:8" hidden="1" x14ac:dyDescent="0.25">
      <c r="A818">
        <v>2021</v>
      </c>
      <c r="B818" t="s">
        <v>46</v>
      </c>
      <c r="C818">
        <v>2019</v>
      </c>
      <c r="D818">
        <v>0</v>
      </c>
      <c r="E818">
        <v>0</v>
      </c>
      <c r="F818">
        <v>679020.44</v>
      </c>
      <c r="G818">
        <v>422.08</v>
      </c>
      <c r="H818" s="2">
        <f t="shared" ref="H818" si="134">SUM(E818:E823)</f>
        <v>54</v>
      </c>
    </row>
    <row r="819" spans="1:8" hidden="1" x14ac:dyDescent="0.25">
      <c r="A819">
        <v>2021</v>
      </c>
      <c r="B819" t="s">
        <v>46</v>
      </c>
      <c r="C819">
        <v>2020</v>
      </c>
      <c r="D819">
        <v>608.99</v>
      </c>
      <c r="E819">
        <v>13</v>
      </c>
      <c r="F819">
        <v>644621.41</v>
      </c>
      <c r="G819">
        <v>411.83</v>
      </c>
      <c r="H819" s="2"/>
    </row>
    <row r="820" spans="1:8" hidden="1" x14ac:dyDescent="0.25">
      <c r="A820">
        <v>2021</v>
      </c>
      <c r="B820" t="s">
        <v>46</v>
      </c>
      <c r="C820">
        <v>2021</v>
      </c>
      <c r="D820">
        <v>1196.57</v>
      </c>
      <c r="E820">
        <v>20</v>
      </c>
      <c r="F820">
        <v>644864.91</v>
      </c>
      <c r="G820">
        <v>410.66</v>
      </c>
      <c r="H820" s="2"/>
    </row>
    <row r="821" spans="1:8" hidden="1" x14ac:dyDescent="0.25">
      <c r="A821">
        <v>2021</v>
      </c>
      <c r="B821" t="s">
        <v>46</v>
      </c>
      <c r="C821">
        <v>2022</v>
      </c>
      <c r="D821">
        <v>1215.6099999999999</v>
      </c>
      <c r="E821">
        <v>21</v>
      </c>
      <c r="F821">
        <v>648750.18000000005</v>
      </c>
      <c r="G821">
        <v>410.91</v>
      </c>
      <c r="H821" s="2"/>
    </row>
    <row r="822" spans="1:8" hidden="1" x14ac:dyDescent="0.25">
      <c r="A822">
        <v>2021</v>
      </c>
      <c r="B822" t="s">
        <v>46</v>
      </c>
      <c r="C822">
        <v>2023</v>
      </c>
      <c r="D822">
        <v>0</v>
      </c>
      <c r="E822">
        <v>0</v>
      </c>
      <c r="F822">
        <v>664524.53</v>
      </c>
      <c r="G822">
        <v>420.18</v>
      </c>
      <c r="H822" s="2"/>
    </row>
    <row r="823" spans="1:8" hidden="1" x14ac:dyDescent="0.25">
      <c r="A823">
        <v>2021</v>
      </c>
      <c r="B823" t="s">
        <v>46</v>
      </c>
      <c r="C823">
        <v>2024</v>
      </c>
      <c r="D823">
        <v>0</v>
      </c>
      <c r="E823">
        <v>0</v>
      </c>
      <c r="F823">
        <v>631426.07999999996</v>
      </c>
      <c r="G823">
        <v>410.14</v>
      </c>
      <c r="H823" s="2"/>
    </row>
    <row r="824" spans="1:8" hidden="1" x14ac:dyDescent="0.25">
      <c r="A824">
        <v>2021</v>
      </c>
      <c r="B824" t="s">
        <v>47</v>
      </c>
      <c r="C824">
        <v>2019</v>
      </c>
      <c r="D824">
        <v>153.24</v>
      </c>
      <c r="E824">
        <v>3</v>
      </c>
      <c r="F824">
        <v>656575.48</v>
      </c>
      <c r="G824">
        <v>429.76</v>
      </c>
      <c r="H824" s="2">
        <f t="shared" ref="H824" si="135">SUM(E824:E829)</f>
        <v>72</v>
      </c>
    </row>
    <row r="825" spans="1:8" hidden="1" x14ac:dyDescent="0.25">
      <c r="A825">
        <v>2021</v>
      </c>
      <c r="B825" t="s">
        <v>47</v>
      </c>
      <c r="C825">
        <v>2020</v>
      </c>
      <c r="D825">
        <v>677.97</v>
      </c>
      <c r="E825">
        <v>12</v>
      </c>
      <c r="F825">
        <v>622499.37</v>
      </c>
      <c r="G825">
        <v>424.71</v>
      </c>
      <c r="H825" s="2"/>
    </row>
    <row r="826" spans="1:8" hidden="1" x14ac:dyDescent="0.25">
      <c r="A826">
        <v>2021</v>
      </c>
      <c r="B826" t="s">
        <v>47</v>
      </c>
      <c r="C826">
        <v>2021</v>
      </c>
      <c r="D826">
        <v>964.14</v>
      </c>
      <c r="E826">
        <v>15</v>
      </c>
      <c r="F826">
        <v>630227.55000000005</v>
      </c>
      <c r="G826">
        <v>425.44</v>
      </c>
      <c r="H826" s="2"/>
    </row>
    <row r="827" spans="1:8" hidden="1" x14ac:dyDescent="0.25">
      <c r="A827">
        <v>2021</v>
      </c>
      <c r="B827" t="s">
        <v>47</v>
      </c>
      <c r="C827">
        <v>2022</v>
      </c>
      <c r="D827">
        <v>1154.54</v>
      </c>
      <c r="E827">
        <v>20</v>
      </c>
      <c r="F827">
        <v>623824.86</v>
      </c>
      <c r="G827">
        <v>421.27</v>
      </c>
      <c r="H827" s="2"/>
    </row>
    <row r="828" spans="1:8" hidden="1" x14ac:dyDescent="0.25">
      <c r="A828">
        <v>2021</v>
      </c>
      <c r="B828" t="s">
        <v>47</v>
      </c>
      <c r="C828">
        <v>2023</v>
      </c>
      <c r="D828">
        <v>383.14</v>
      </c>
      <c r="E828">
        <v>8</v>
      </c>
      <c r="F828">
        <v>647677.49</v>
      </c>
      <c r="G828">
        <v>429.63</v>
      </c>
      <c r="H828" s="2"/>
    </row>
    <row r="829" spans="1:8" hidden="1" x14ac:dyDescent="0.25">
      <c r="A829">
        <v>2021</v>
      </c>
      <c r="B829" t="s">
        <v>47</v>
      </c>
      <c r="C829">
        <v>2024</v>
      </c>
      <c r="D829">
        <v>633.71</v>
      </c>
      <c r="E829">
        <v>14</v>
      </c>
      <c r="F829">
        <v>611915.93999999994</v>
      </c>
      <c r="G829">
        <v>416.49</v>
      </c>
      <c r="H829" s="2"/>
    </row>
    <row r="830" spans="1:8" hidden="1" x14ac:dyDescent="0.25">
      <c r="A830">
        <v>2021</v>
      </c>
      <c r="B830" t="s">
        <v>48</v>
      </c>
      <c r="C830">
        <v>2019</v>
      </c>
      <c r="D830">
        <v>831.74</v>
      </c>
      <c r="E830">
        <v>17</v>
      </c>
      <c r="F830">
        <v>733190.7</v>
      </c>
      <c r="G830">
        <v>379.71</v>
      </c>
      <c r="H830" s="2">
        <f t="shared" ref="H830" si="136">SUM(E830:E835)</f>
        <v>100</v>
      </c>
    </row>
    <row r="831" spans="1:8" hidden="1" x14ac:dyDescent="0.25">
      <c r="A831">
        <v>2021</v>
      </c>
      <c r="B831" t="s">
        <v>48</v>
      </c>
      <c r="C831">
        <v>2020</v>
      </c>
      <c r="D831">
        <v>976.16</v>
      </c>
      <c r="E831">
        <v>19</v>
      </c>
      <c r="F831">
        <v>708324.52</v>
      </c>
      <c r="G831">
        <v>378.35</v>
      </c>
      <c r="H831" s="2"/>
    </row>
    <row r="832" spans="1:8" hidden="1" x14ac:dyDescent="0.25">
      <c r="A832">
        <v>2021</v>
      </c>
      <c r="B832" t="s">
        <v>48</v>
      </c>
      <c r="C832">
        <v>2021</v>
      </c>
      <c r="D832">
        <v>6.43</v>
      </c>
      <c r="E832">
        <v>3</v>
      </c>
      <c r="F832">
        <v>718114.24</v>
      </c>
      <c r="G832">
        <v>376.14</v>
      </c>
      <c r="H832" s="2"/>
    </row>
    <row r="833" spans="1:8" hidden="1" x14ac:dyDescent="0.25">
      <c r="A833">
        <v>2021</v>
      </c>
      <c r="B833" t="s">
        <v>48</v>
      </c>
      <c r="C833">
        <v>2022</v>
      </c>
      <c r="D833">
        <v>462.72</v>
      </c>
      <c r="E833">
        <v>13</v>
      </c>
      <c r="F833">
        <v>681222.22</v>
      </c>
      <c r="G833">
        <v>372.34</v>
      </c>
      <c r="H833" s="2"/>
    </row>
    <row r="834" spans="1:8" hidden="1" x14ac:dyDescent="0.25">
      <c r="A834">
        <v>2021</v>
      </c>
      <c r="B834" t="s">
        <v>48</v>
      </c>
      <c r="C834">
        <v>2023</v>
      </c>
      <c r="D834">
        <v>986.25</v>
      </c>
      <c r="E834">
        <v>15</v>
      </c>
      <c r="F834">
        <v>717578.03</v>
      </c>
      <c r="G834">
        <v>379.59</v>
      </c>
      <c r="H834" s="2"/>
    </row>
    <row r="835" spans="1:8" hidden="1" x14ac:dyDescent="0.25">
      <c r="A835">
        <v>2021</v>
      </c>
      <c r="B835" t="s">
        <v>48</v>
      </c>
      <c r="C835">
        <v>2024</v>
      </c>
      <c r="D835">
        <v>1320.08</v>
      </c>
      <c r="E835">
        <v>33</v>
      </c>
      <c r="F835">
        <v>722649.54</v>
      </c>
      <c r="G835">
        <v>373.95</v>
      </c>
      <c r="H835" s="2"/>
    </row>
    <row r="836" spans="1:8" hidden="1" x14ac:dyDescent="0.25">
      <c r="A836">
        <v>2021</v>
      </c>
      <c r="B836" t="s">
        <v>49</v>
      </c>
      <c r="C836">
        <v>2019</v>
      </c>
      <c r="D836">
        <v>934.99</v>
      </c>
      <c r="E836">
        <v>20</v>
      </c>
      <c r="F836">
        <v>638050.49</v>
      </c>
      <c r="G836">
        <v>433.04</v>
      </c>
      <c r="H836" s="2">
        <f t="shared" ref="H836" si="137">SUM(E836:E841)</f>
        <v>152</v>
      </c>
    </row>
    <row r="837" spans="1:8" hidden="1" x14ac:dyDescent="0.25">
      <c r="A837">
        <v>2021</v>
      </c>
      <c r="B837" t="s">
        <v>49</v>
      </c>
      <c r="C837">
        <v>2020</v>
      </c>
      <c r="D837">
        <v>660.12</v>
      </c>
      <c r="E837">
        <v>13</v>
      </c>
      <c r="F837">
        <v>620015.79</v>
      </c>
      <c r="G837">
        <v>435.04</v>
      </c>
      <c r="H837" s="2"/>
    </row>
    <row r="838" spans="1:8" hidden="1" x14ac:dyDescent="0.25">
      <c r="A838">
        <v>2021</v>
      </c>
      <c r="B838" t="s">
        <v>49</v>
      </c>
      <c r="C838">
        <v>2021</v>
      </c>
      <c r="D838">
        <v>549.4</v>
      </c>
      <c r="E838">
        <v>13</v>
      </c>
      <c r="F838">
        <v>627061.88</v>
      </c>
      <c r="G838">
        <v>432.09</v>
      </c>
      <c r="H838" s="2"/>
    </row>
    <row r="839" spans="1:8" hidden="1" x14ac:dyDescent="0.25">
      <c r="A839">
        <v>2021</v>
      </c>
      <c r="B839" t="s">
        <v>49</v>
      </c>
      <c r="C839">
        <v>2022</v>
      </c>
      <c r="D839">
        <v>1284.79</v>
      </c>
      <c r="E839">
        <v>36</v>
      </c>
      <c r="F839">
        <v>597970.81000000006</v>
      </c>
      <c r="G839">
        <v>424.66</v>
      </c>
      <c r="H839" s="2"/>
    </row>
    <row r="840" spans="1:8" hidden="1" x14ac:dyDescent="0.25">
      <c r="A840">
        <v>2021</v>
      </c>
      <c r="B840" t="s">
        <v>49</v>
      </c>
      <c r="C840">
        <v>2023</v>
      </c>
      <c r="D840">
        <v>1200.0999999999999</v>
      </c>
      <c r="E840">
        <v>21</v>
      </c>
      <c r="F840">
        <v>627896.19999999995</v>
      </c>
      <c r="G840">
        <v>433.21</v>
      </c>
      <c r="H840" s="2"/>
    </row>
    <row r="841" spans="1:8" hidden="1" x14ac:dyDescent="0.25">
      <c r="A841">
        <v>2021</v>
      </c>
      <c r="B841" t="s">
        <v>49</v>
      </c>
      <c r="C841">
        <v>2024</v>
      </c>
      <c r="D841">
        <v>2182.69</v>
      </c>
      <c r="E841">
        <v>49</v>
      </c>
      <c r="F841">
        <v>627417.07999999996</v>
      </c>
      <c r="G841">
        <v>429.27</v>
      </c>
      <c r="H841" s="2"/>
    </row>
    <row r="842" spans="1:8" hidden="1" x14ac:dyDescent="0.25">
      <c r="A842">
        <v>2021</v>
      </c>
      <c r="B842" t="s">
        <v>50</v>
      </c>
      <c r="C842">
        <v>2019</v>
      </c>
      <c r="D842">
        <v>300.99</v>
      </c>
      <c r="E842">
        <v>5</v>
      </c>
      <c r="F842">
        <v>607675.4</v>
      </c>
      <c r="G842">
        <v>653.89</v>
      </c>
      <c r="H842" s="2">
        <f t="shared" ref="H842" si="138">SUM(E842:E847)</f>
        <v>42</v>
      </c>
    </row>
    <row r="843" spans="1:8" hidden="1" x14ac:dyDescent="0.25">
      <c r="A843">
        <v>2021</v>
      </c>
      <c r="B843" t="s">
        <v>50</v>
      </c>
      <c r="C843">
        <v>2020</v>
      </c>
      <c r="D843">
        <v>151.99</v>
      </c>
      <c r="E843">
        <v>4</v>
      </c>
      <c r="F843">
        <v>584169.43999999994</v>
      </c>
      <c r="G843">
        <v>655.54</v>
      </c>
      <c r="H843" s="2"/>
    </row>
    <row r="844" spans="1:8" hidden="1" x14ac:dyDescent="0.25">
      <c r="A844">
        <v>2021</v>
      </c>
      <c r="B844" t="s">
        <v>50</v>
      </c>
      <c r="C844">
        <v>2021</v>
      </c>
      <c r="D844">
        <v>141.34</v>
      </c>
      <c r="E844">
        <v>4</v>
      </c>
      <c r="F844">
        <v>586205.69999999995</v>
      </c>
      <c r="G844">
        <v>650.54</v>
      </c>
      <c r="H844" s="2"/>
    </row>
    <row r="845" spans="1:8" hidden="1" x14ac:dyDescent="0.25">
      <c r="A845">
        <v>2021</v>
      </c>
      <c r="B845" t="s">
        <v>50</v>
      </c>
      <c r="C845">
        <v>2022</v>
      </c>
      <c r="D845">
        <v>699.59</v>
      </c>
      <c r="E845">
        <v>14</v>
      </c>
      <c r="F845">
        <v>575401.77</v>
      </c>
      <c r="G845">
        <v>635</v>
      </c>
      <c r="H845" s="2"/>
    </row>
    <row r="846" spans="1:8" hidden="1" x14ac:dyDescent="0.25">
      <c r="A846">
        <v>2021</v>
      </c>
      <c r="B846" t="s">
        <v>50</v>
      </c>
      <c r="C846">
        <v>2023</v>
      </c>
      <c r="D846">
        <v>160.31</v>
      </c>
      <c r="E846">
        <v>3</v>
      </c>
      <c r="F846">
        <v>608797.37</v>
      </c>
      <c r="G846">
        <v>662.38</v>
      </c>
      <c r="H846" s="2"/>
    </row>
    <row r="847" spans="1:8" hidden="1" x14ac:dyDescent="0.25">
      <c r="A847">
        <v>2021</v>
      </c>
      <c r="B847" t="s">
        <v>50</v>
      </c>
      <c r="C847">
        <v>2024</v>
      </c>
      <c r="D847">
        <v>431.98</v>
      </c>
      <c r="E847">
        <v>12</v>
      </c>
      <c r="F847">
        <v>576723.26</v>
      </c>
      <c r="G847">
        <v>645.09</v>
      </c>
      <c r="H847" s="2"/>
    </row>
    <row r="848" spans="1:8" hidden="1" x14ac:dyDescent="0.25">
      <c r="A848">
        <v>2021</v>
      </c>
      <c r="B848" t="s">
        <v>51</v>
      </c>
      <c r="C848">
        <v>2019</v>
      </c>
      <c r="D848">
        <v>911.72</v>
      </c>
      <c r="E848">
        <v>15</v>
      </c>
      <c r="F848">
        <v>655169.18000000005</v>
      </c>
      <c r="G848">
        <v>498.94</v>
      </c>
      <c r="H848" s="2">
        <f t="shared" ref="H848" si="139">SUM(E848:E853)</f>
        <v>122</v>
      </c>
    </row>
    <row r="849" spans="1:8" hidden="1" x14ac:dyDescent="0.25">
      <c r="A849">
        <v>2021</v>
      </c>
      <c r="B849" t="s">
        <v>51</v>
      </c>
      <c r="C849">
        <v>2020</v>
      </c>
      <c r="D849">
        <v>499.94</v>
      </c>
      <c r="E849">
        <v>14</v>
      </c>
      <c r="F849">
        <v>618916.64</v>
      </c>
      <c r="G849">
        <v>492.49</v>
      </c>
      <c r="H849" s="2"/>
    </row>
    <row r="850" spans="1:8" hidden="1" x14ac:dyDescent="0.25">
      <c r="A850">
        <v>2021</v>
      </c>
      <c r="B850" t="s">
        <v>51</v>
      </c>
      <c r="C850">
        <v>2021</v>
      </c>
      <c r="D850">
        <v>294.27</v>
      </c>
      <c r="E850">
        <v>7</v>
      </c>
      <c r="F850">
        <v>626407.09</v>
      </c>
      <c r="G850">
        <v>494.51</v>
      </c>
      <c r="H850" s="2"/>
    </row>
    <row r="851" spans="1:8" hidden="1" x14ac:dyDescent="0.25">
      <c r="A851">
        <v>2021</v>
      </c>
      <c r="B851" t="s">
        <v>51</v>
      </c>
      <c r="C851">
        <v>2022</v>
      </c>
      <c r="D851">
        <v>3058.92</v>
      </c>
      <c r="E851">
        <v>56</v>
      </c>
      <c r="F851">
        <v>599734.62</v>
      </c>
      <c r="G851">
        <v>477.56</v>
      </c>
      <c r="H851" s="2"/>
    </row>
    <row r="852" spans="1:8" hidden="1" x14ac:dyDescent="0.25">
      <c r="A852">
        <v>2021</v>
      </c>
      <c r="B852" t="s">
        <v>51</v>
      </c>
      <c r="C852">
        <v>2023</v>
      </c>
      <c r="D852">
        <v>163.02000000000001</v>
      </c>
      <c r="E852">
        <v>3</v>
      </c>
      <c r="F852">
        <v>654463.94999999995</v>
      </c>
      <c r="G852">
        <v>504.87</v>
      </c>
      <c r="H852" s="2"/>
    </row>
    <row r="853" spans="1:8" hidden="1" x14ac:dyDescent="0.25">
      <c r="A853">
        <v>2021</v>
      </c>
      <c r="B853" t="s">
        <v>51</v>
      </c>
      <c r="C853">
        <v>2024</v>
      </c>
      <c r="D853">
        <v>1486.19</v>
      </c>
      <c r="E853">
        <v>27</v>
      </c>
      <c r="F853">
        <v>612810.79</v>
      </c>
      <c r="G853">
        <v>483.06</v>
      </c>
      <c r="H853" s="2"/>
    </row>
    <row r="854" spans="1:8" hidden="1" x14ac:dyDescent="0.25">
      <c r="A854">
        <v>2021</v>
      </c>
      <c r="B854" t="s">
        <v>52</v>
      </c>
      <c r="C854">
        <v>2019</v>
      </c>
      <c r="D854">
        <v>731.04</v>
      </c>
      <c r="E854">
        <v>12</v>
      </c>
      <c r="F854">
        <v>564268.56999999995</v>
      </c>
      <c r="G854">
        <v>715.98</v>
      </c>
      <c r="H854" s="2">
        <f t="shared" ref="H854" si="140">SUM(E854:E859)</f>
        <v>122</v>
      </c>
    </row>
    <row r="855" spans="1:8" hidden="1" x14ac:dyDescent="0.25">
      <c r="A855">
        <v>2021</v>
      </c>
      <c r="B855" t="s">
        <v>52</v>
      </c>
      <c r="C855">
        <v>2020</v>
      </c>
      <c r="D855">
        <v>745.3</v>
      </c>
      <c r="E855">
        <v>16</v>
      </c>
      <c r="F855">
        <v>539221.49</v>
      </c>
      <c r="G855">
        <v>699.02</v>
      </c>
      <c r="H855" s="2"/>
    </row>
    <row r="856" spans="1:8" hidden="1" x14ac:dyDescent="0.25">
      <c r="A856">
        <v>2021</v>
      </c>
      <c r="B856" t="s">
        <v>52</v>
      </c>
      <c r="C856">
        <v>2021</v>
      </c>
      <c r="D856">
        <v>192.36</v>
      </c>
      <c r="E856">
        <v>4</v>
      </c>
      <c r="F856">
        <v>552607.31999999995</v>
      </c>
      <c r="G856">
        <v>703.5</v>
      </c>
      <c r="H856" s="2"/>
    </row>
    <row r="857" spans="1:8" hidden="1" x14ac:dyDescent="0.25">
      <c r="A857">
        <v>2021</v>
      </c>
      <c r="B857" t="s">
        <v>52</v>
      </c>
      <c r="C857">
        <v>2022</v>
      </c>
      <c r="D857">
        <v>1907.15</v>
      </c>
      <c r="E857">
        <v>40</v>
      </c>
      <c r="F857">
        <v>543528.97</v>
      </c>
      <c r="G857">
        <v>686.37</v>
      </c>
      <c r="H857" s="2"/>
    </row>
    <row r="858" spans="1:8" hidden="1" x14ac:dyDescent="0.25">
      <c r="A858">
        <v>2021</v>
      </c>
      <c r="B858" t="s">
        <v>52</v>
      </c>
      <c r="C858">
        <v>2023</v>
      </c>
      <c r="D858">
        <v>842.67</v>
      </c>
      <c r="E858">
        <v>18</v>
      </c>
      <c r="F858">
        <v>565600.01</v>
      </c>
      <c r="G858">
        <v>720.34</v>
      </c>
      <c r="H858" s="2"/>
    </row>
    <row r="859" spans="1:8" hidden="1" x14ac:dyDescent="0.25">
      <c r="A859">
        <v>2021</v>
      </c>
      <c r="B859" t="s">
        <v>52</v>
      </c>
      <c r="C859">
        <v>2024</v>
      </c>
      <c r="D859">
        <v>1936.14</v>
      </c>
      <c r="E859">
        <v>32</v>
      </c>
      <c r="F859">
        <v>544171.22</v>
      </c>
      <c r="G859">
        <v>697.93</v>
      </c>
      <c r="H859" s="2"/>
    </row>
    <row r="860" spans="1:8" hidden="1" x14ac:dyDescent="0.25">
      <c r="A860">
        <v>2021</v>
      </c>
      <c r="B860" t="s">
        <v>53</v>
      </c>
      <c r="C860">
        <v>2019</v>
      </c>
      <c r="D860">
        <v>359.73</v>
      </c>
      <c r="E860">
        <v>8</v>
      </c>
      <c r="F860">
        <v>685006.63</v>
      </c>
      <c r="G860">
        <v>616.07000000000005</v>
      </c>
      <c r="H860" s="2">
        <f t="shared" ref="H860" si="141">SUM(E860:E865)</f>
        <v>49</v>
      </c>
    </row>
    <row r="861" spans="1:8" hidden="1" x14ac:dyDescent="0.25">
      <c r="A861">
        <v>2021</v>
      </c>
      <c r="B861" t="s">
        <v>53</v>
      </c>
      <c r="C861">
        <v>2020</v>
      </c>
      <c r="D861">
        <v>137.5</v>
      </c>
      <c r="E861">
        <v>3</v>
      </c>
      <c r="F861">
        <v>653133.6</v>
      </c>
      <c r="G861">
        <v>608.44000000000005</v>
      </c>
      <c r="H861" s="2"/>
    </row>
    <row r="862" spans="1:8" hidden="1" x14ac:dyDescent="0.25">
      <c r="A862">
        <v>2021</v>
      </c>
      <c r="B862" t="s">
        <v>53</v>
      </c>
      <c r="C862">
        <v>2021</v>
      </c>
      <c r="D862">
        <v>401.97</v>
      </c>
      <c r="E862">
        <v>9</v>
      </c>
      <c r="F862">
        <v>667000.51</v>
      </c>
      <c r="G862">
        <v>609.14</v>
      </c>
      <c r="H862" s="2"/>
    </row>
    <row r="863" spans="1:8" hidden="1" x14ac:dyDescent="0.25">
      <c r="A863">
        <v>2021</v>
      </c>
      <c r="B863" t="s">
        <v>53</v>
      </c>
      <c r="C863">
        <v>2022</v>
      </c>
      <c r="D863">
        <v>284.87</v>
      </c>
      <c r="E863">
        <v>7</v>
      </c>
      <c r="F863">
        <v>654521.59</v>
      </c>
      <c r="G863">
        <v>601.26</v>
      </c>
      <c r="H863" s="2"/>
    </row>
    <row r="864" spans="1:8" hidden="1" x14ac:dyDescent="0.25">
      <c r="A864">
        <v>2021</v>
      </c>
      <c r="B864" t="s">
        <v>53</v>
      </c>
      <c r="C864">
        <v>2023</v>
      </c>
      <c r="D864">
        <v>0</v>
      </c>
      <c r="E864">
        <v>0</v>
      </c>
      <c r="F864">
        <v>682092.19</v>
      </c>
      <c r="G864">
        <v>618.89</v>
      </c>
      <c r="H864" s="2"/>
    </row>
    <row r="865" spans="1:8" hidden="1" x14ac:dyDescent="0.25">
      <c r="A865">
        <v>2021</v>
      </c>
      <c r="B865" t="s">
        <v>53</v>
      </c>
      <c r="C865">
        <v>2024</v>
      </c>
      <c r="D865">
        <v>1176.01</v>
      </c>
      <c r="E865">
        <v>22</v>
      </c>
      <c r="F865">
        <v>643623.81000000006</v>
      </c>
      <c r="G865">
        <v>600.82000000000005</v>
      </c>
      <c r="H865" s="2"/>
    </row>
    <row r="866" spans="1:8" hidden="1" x14ac:dyDescent="0.25">
      <c r="A866">
        <v>2022</v>
      </c>
      <c r="B866" t="s">
        <v>7</v>
      </c>
      <c r="C866">
        <v>2019</v>
      </c>
      <c r="D866">
        <v>0</v>
      </c>
      <c r="E866">
        <v>0</v>
      </c>
      <c r="F866">
        <v>760041.34</v>
      </c>
      <c r="G866">
        <v>640.02</v>
      </c>
      <c r="H866" s="2">
        <f t="shared" ref="H866" si="142">SUM(E866:E871)</f>
        <v>43</v>
      </c>
    </row>
    <row r="867" spans="1:8" hidden="1" x14ac:dyDescent="0.25">
      <c r="A867">
        <v>2022</v>
      </c>
      <c r="B867" t="s">
        <v>7</v>
      </c>
      <c r="C867">
        <v>2020</v>
      </c>
      <c r="D867">
        <v>176.08</v>
      </c>
      <c r="E867">
        <v>5</v>
      </c>
      <c r="F867">
        <v>716045.56</v>
      </c>
      <c r="G867">
        <v>626.42999999999995</v>
      </c>
      <c r="H867" s="2"/>
    </row>
    <row r="868" spans="1:8" hidden="1" x14ac:dyDescent="0.25">
      <c r="A868">
        <v>2022</v>
      </c>
      <c r="B868" t="s">
        <v>7</v>
      </c>
      <c r="C868">
        <v>2021</v>
      </c>
      <c r="D868">
        <v>125.08</v>
      </c>
      <c r="E868">
        <v>2</v>
      </c>
      <c r="F868">
        <v>748198.99</v>
      </c>
      <c r="G868">
        <v>631.42999999999995</v>
      </c>
      <c r="H868" s="2"/>
    </row>
    <row r="869" spans="1:8" hidden="1" x14ac:dyDescent="0.25">
      <c r="A869">
        <v>2022</v>
      </c>
      <c r="B869" t="s">
        <v>7</v>
      </c>
      <c r="C869">
        <v>2022</v>
      </c>
      <c r="D869">
        <v>586.69000000000005</v>
      </c>
      <c r="E869">
        <v>11</v>
      </c>
      <c r="F869">
        <v>719795.88</v>
      </c>
      <c r="G869">
        <v>620.33000000000004</v>
      </c>
      <c r="H869" s="2"/>
    </row>
    <row r="870" spans="1:8" hidden="1" x14ac:dyDescent="0.25">
      <c r="A870">
        <v>2022</v>
      </c>
      <c r="B870" t="s">
        <v>7</v>
      </c>
      <c r="C870">
        <v>2023</v>
      </c>
      <c r="D870">
        <v>687.56</v>
      </c>
      <c r="E870">
        <v>13</v>
      </c>
      <c r="F870">
        <v>737952.75</v>
      </c>
      <c r="G870">
        <v>636.74</v>
      </c>
      <c r="H870" s="2"/>
    </row>
    <row r="871" spans="1:8" hidden="1" x14ac:dyDescent="0.25">
      <c r="A871">
        <v>2022</v>
      </c>
      <c r="B871" t="s">
        <v>7</v>
      </c>
      <c r="C871">
        <v>2024</v>
      </c>
      <c r="D871">
        <v>523.62</v>
      </c>
      <c r="E871">
        <v>12</v>
      </c>
      <c r="F871">
        <v>744749.25</v>
      </c>
      <c r="G871">
        <v>621.75</v>
      </c>
      <c r="H871" s="2"/>
    </row>
    <row r="872" spans="1:8" hidden="1" x14ac:dyDescent="0.25">
      <c r="A872">
        <v>2022</v>
      </c>
      <c r="B872" t="s">
        <v>8</v>
      </c>
      <c r="C872">
        <v>2019</v>
      </c>
      <c r="D872">
        <v>121.5</v>
      </c>
      <c r="E872">
        <v>3</v>
      </c>
      <c r="F872">
        <v>833572.99</v>
      </c>
      <c r="G872">
        <v>457.94</v>
      </c>
      <c r="H872" s="2">
        <f t="shared" ref="H872" si="143">SUM(E872:E877)</f>
        <v>52</v>
      </c>
    </row>
    <row r="873" spans="1:8" hidden="1" x14ac:dyDescent="0.25">
      <c r="A873">
        <v>2022</v>
      </c>
      <c r="B873" t="s">
        <v>8</v>
      </c>
      <c r="C873">
        <v>2020</v>
      </c>
      <c r="D873">
        <v>576.20000000000005</v>
      </c>
      <c r="E873">
        <v>13</v>
      </c>
      <c r="F873">
        <v>783462.29</v>
      </c>
      <c r="G873">
        <v>450.27</v>
      </c>
      <c r="H873" s="2"/>
    </row>
    <row r="874" spans="1:8" hidden="1" x14ac:dyDescent="0.25">
      <c r="A874">
        <v>2022</v>
      </c>
      <c r="B874" t="s">
        <v>8</v>
      </c>
      <c r="C874">
        <v>2021</v>
      </c>
      <c r="D874">
        <v>226.63</v>
      </c>
      <c r="E874">
        <v>5</v>
      </c>
      <c r="F874">
        <v>803785.2</v>
      </c>
      <c r="G874">
        <v>455.17</v>
      </c>
      <c r="H874" s="2"/>
    </row>
    <row r="875" spans="1:8" hidden="1" x14ac:dyDescent="0.25">
      <c r="A875">
        <v>2022</v>
      </c>
      <c r="B875" t="s">
        <v>8</v>
      </c>
      <c r="C875">
        <v>2022</v>
      </c>
      <c r="D875">
        <v>616.47</v>
      </c>
      <c r="E875">
        <v>11</v>
      </c>
      <c r="F875">
        <v>762923.23</v>
      </c>
      <c r="G875">
        <v>447.51</v>
      </c>
      <c r="H875" s="2"/>
    </row>
    <row r="876" spans="1:8" hidden="1" x14ac:dyDescent="0.25">
      <c r="A876">
        <v>2022</v>
      </c>
      <c r="B876" t="s">
        <v>8</v>
      </c>
      <c r="C876">
        <v>2023</v>
      </c>
      <c r="D876">
        <v>520.70000000000005</v>
      </c>
      <c r="E876">
        <v>11</v>
      </c>
      <c r="F876">
        <v>798117.26</v>
      </c>
      <c r="G876">
        <v>456.27</v>
      </c>
      <c r="H876" s="2"/>
    </row>
    <row r="877" spans="1:8" hidden="1" x14ac:dyDescent="0.25">
      <c r="A877">
        <v>2022</v>
      </c>
      <c r="B877" t="s">
        <v>8</v>
      </c>
      <c r="C877">
        <v>2024</v>
      </c>
      <c r="D877">
        <v>492.53</v>
      </c>
      <c r="E877">
        <v>9</v>
      </c>
      <c r="F877">
        <v>813847.59</v>
      </c>
      <c r="G877">
        <v>453.5</v>
      </c>
      <c r="H877" s="2"/>
    </row>
    <row r="878" spans="1:8" hidden="1" x14ac:dyDescent="0.25">
      <c r="A878">
        <v>2022</v>
      </c>
      <c r="B878" t="s">
        <v>9</v>
      </c>
      <c r="C878">
        <v>2019</v>
      </c>
      <c r="D878">
        <v>0</v>
      </c>
      <c r="E878">
        <v>0</v>
      </c>
      <c r="F878">
        <v>1120584.48</v>
      </c>
      <c r="G878">
        <v>555.79999999999995</v>
      </c>
      <c r="H878" s="2">
        <f t="shared" ref="H878" si="144">SUM(E878:E883)</f>
        <v>32</v>
      </c>
    </row>
    <row r="879" spans="1:8" hidden="1" x14ac:dyDescent="0.25">
      <c r="A879">
        <v>2022</v>
      </c>
      <c r="B879" t="s">
        <v>9</v>
      </c>
      <c r="C879">
        <v>2020</v>
      </c>
      <c r="D879">
        <v>141.19</v>
      </c>
      <c r="E879">
        <v>3</v>
      </c>
      <c r="F879">
        <v>1076946.33</v>
      </c>
      <c r="G879">
        <v>550.86</v>
      </c>
      <c r="H879" s="2"/>
    </row>
    <row r="880" spans="1:8" hidden="1" x14ac:dyDescent="0.25">
      <c r="A880">
        <v>2022</v>
      </c>
      <c r="B880" t="s">
        <v>9</v>
      </c>
      <c r="C880">
        <v>2021</v>
      </c>
      <c r="D880">
        <v>571.23</v>
      </c>
      <c r="E880">
        <v>10</v>
      </c>
      <c r="F880">
        <v>1067657.06</v>
      </c>
      <c r="G880">
        <v>543.14</v>
      </c>
      <c r="H880" s="2"/>
    </row>
    <row r="881" spans="1:8" hidden="1" x14ac:dyDescent="0.25">
      <c r="A881">
        <v>2022</v>
      </c>
      <c r="B881" t="s">
        <v>9</v>
      </c>
      <c r="C881">
        <v>2022</v>
      </c>
      <c r="D881">
        <v>367.06</v>
      </c>
      <c r="E881">
        <v>12</v>
      </c>
      <c r="F881">
        <v>1018879.78</v>
      </c>
      <c r="G881">
        <v>542.95000000000005</v>
      </c>
      <c r="H881" s="2"/>
    </row>
    <row r="882" spans="1:8" hidden="1" x14ac:dyDescent="0.25">
      <c r="A882">
        <v>2022</v>
      </c>
      <c r="B882" t="s">
        <v>9</v>
      </c>
      <c r="C882">
        <v>2023</v>
      </c>
      <c r="D882">
        <v>470.46</v>
      </c>
      <c r="E882">
        <v>7</v>
      </c>
      <c r="F882">
        <v>1061478.81</v>
      </c>
      <c r="G882">
        <v>547.28</v>
      </c>
      <c r="H882" s="2"/>
    </row>
    <row r="883" spans="1:8" hidden="1" x14ac:dyDescent="0.25">
      <c r="A883">
        <v>2022</v>
      </c>
      <c r="B883" t="s">
        <v>9</v>
      </c>
      <c r="C883">
        <v>2024</v>
      </c>
      <c r="D883">
        <v>0</v>
      </c>
      <c r="E883">
        <v>0</v>
      </c>
      <c r="F883">
        <v>1124957.42</v>
      </c>
      <c r="G883">
        <v>551.59</v>
      </c>
      <c r="H883" s="2"/>
    </row>
    <row r="884" spans="1:8" hidden="1" x14ac:dyDescent="0.25">
      <c r="A884">
        <v>2022</v>
      </c>
      <c r="B884" t="s">
        <v>10</v>
      </c>
      <c r="C884">
        <v>2019</v>
      </c>
      <c r="D884">
        <v>129.29</v>
      </c>
      <c r="E884">
        <v>4</v>
      </c>
      <c r="F884">
        <v>740274.79</v>
      </c>
      <c r="G884">
        <v>531.75</v>
      </c>
      <c r="H884" s="2">
        <f t="shared" ref="H884" si="145">SUM(E884:E889)</f>
        <v>92</v>
      </c>
    </row>
    <row r="885" spans="1:8" hidden="1" x14ac:dyDescent="0.25">
      <c r="A885">
        <v>2022</v>
      </c>
      <c r="B885" t="s">
        <v>10</v>
      </c>
      <c r="C885">
        <v>2020</v>
      </c>
      <c r="D885">
        <v>1599.55</v>
      </c>
      <c r="E885">
        <v>34</v>
      </c>
      <c r="F885">
        <v>715085</v>
      </c>
      <c r="G885">
        <v>523.20000000000005</v>
      </c>
      <c r="H885" s="2"/>
    </row>
    <row r="886" spans="1:8" hidden="1" x14ac:dyDescent="0.25">
      <c r="A886">
        <v>2022</v>
      </c>
      <c r="B886" t="s">
        <v>10</v>
      </c>
      <c r="C886">
        <v>2021</v>
      </c>
      <c r="D886">
        <v>98.71</v>
      </c>
      <c r="E886">
        <v>2</v>
      </c>
      <c r="F886">
        <v>736017</v>
      </c>
      <c r="G886">
        <v>536.26</v>
      </c>
      <c r="H886" s="2"/>
    </row>
    <row r="887" spans="1:8" hidden="1" x14ac:dyDescent="0.25">
      <c r="A887">
        <v>2022</v>
      </c>
      <c r="B887" t="s">
        <v>10</v>
      </c>
      <c r="C887">
        <v>2022</v>
      </c>
      <c r="D887">
        <v>318.81</v>
      </c>
      <c r="E887">
        <v>8</v>
      </c>
      <c r="F887">
        <v>703907.02</v>
      </c>
      <c r="G887">
        <v>529.53</v>
      </c>
      <c r="H887" s="2"/>
    </row>
    <row r="888" spans="1:8" hidden="1" x14ac:dyDescent="0.25">
      <c r="A888">
        <v>2022</v>
      </c>
      <c r="B888" t="s">
        <v>10</v>
      </c>
      <c r="C888">
        <v>2023</v>
      </c>
      <c r="D888">
        <v>1154.1400000000001</v>
      </c>
      <c r="E888">
        <v>18</v>
      </c>
      <c r="F888">
        <v>734535.05</v>
      </c>
      <c r="G888">
        <v>532.51</v>
      </c>
      <c r="H888" s="2"/>
    </row>
    <row r="889" spans="1:8" hidden="1" x14ac:dyDescent="0.25">
      <c r="A889">
        <v>2022</v>
      </c>
      <c r="B889" t="s">
        <v>10</v>
      </c>
      <c r="C889">
        <v>2024</v>
      </c>
      <c r="D889">
        <v>908.11</v>
      </c>
      <c r="E889">
        <v>26</v>
      </c>
      <c r="F889">
        <v>719197.25</v>
      </c>
      <c r="G889">
        <v>527.47</v>
      </c>
      <c r="H889" s="2"/>
    </row>
    <row r="890" spans="1:8" hidden="1" x14ac:dyDescent="0.25">
      <c r="A890">
        <v>2022</v>
      </c>
      <c r="B890" t="s">
        <v>11</v>
      </c>
      <c r="C890">
        <v>2019</v>
      </c>
      <c r="D890">
        <v>102.58</v>
      </c>
      <c r="E890">
        <v>3</v>
      </c>
      <c r="F890">
        <v>765140.12</v>
      </c>
      <c r="G890">
        <v>541.1</v>
      </c>
      <c r="H890" s="2">
        <f t="shared" ref="H890" si="146">SUM(E890:E895)</f>
        <v>52</v>
      </c>
    </row>
    <row r="891" spans="1:8" hidden="1" x14ac:dyDescent="0.25">
      <c r="A891">
        <v>2022</v>
      </c>
      <c r="B891" t="s">
        <v>11</v>
      </c>
      <c r="C891">
        <v>2020</v>
      </c>
      <c r="D891">
        <v>1000.46</v>
      </c>
      <c r="E891">
        <v>19</v>
      </c>
      <c r="F891">
        <v>733254.7</v>
      </c>
      <c r="G891">
        <v>530.9</v>
      </c>
      <c r="H891" s="2"/>
    </row>
    <row r="892" spans="1:8" hidden="1" x14ac:dyDescent="0.25">
      <c r="A892">
        <v>2022</v>
      </c>
      <c r="B892" t="s">
        <v>11</v>
      </c>
      <c r="C892">
        <v>2021</v>
      </c>
      <c r="D892">
        <v>94.19</v>
      </c>
      <c r="E892">
        <v>2</v>
      </c>
      <c r="F892">
        <v>756118.85</v>
      </c>
      <c r="G892">
        <v>541.55999999999995</v>
      </c>
      <c r="H892" s="2"/>
    </row>
    <row r="893" spans="1:8" hidden="1" x14ac:dyDescent="0.25">
      <c r="A893">
        <v>2022</v>
      </c>
      <c r="B893" t="s">
        <v>11</v>
      </c>
      <c r="C893">
        <v>2022</v>
      </c>
      <c r="D893">
        <v>44.17</v>
      </c>
      <c r="E893">
        <v>3</v>
      </c>
      <c r="F893">
        <v>723506.57</v>
      </c>
      <c r="G893">
        <v>535.15</v>
      </c>
      <c r="H893" s="2"/>
    </row>
    <row r="894" spans="1:8" hidden="1" x14ac:dyDescent="0.25">
      <c r="A894">
        <v>2022</v>
      </c>
      <c r="B894" t="s">
        <v>11</v>
      </c>
      <c r="C894">
        <v>2023</v>
      </c>
      <c r="D894">
        <v>645.96</v>
      </c>
      <c r="E894">
        <v>8</v>
      </c>
      <c r="F894">
        <v>755864.02</v>
      </c>
      <c r="G894">
        <v>539.59</v>
      </c>
      <c r="H894" s="2"/>
    </row>
    <row r="895" spans="1:8" hidden="1" x14ac:dyDescent="0.25">
      <c r="A895">
        <v>2022</v>
      </c>
      <c r="B895" t="s">
        <v>11</v>
      </c>
      <c r="C895">
        <v>2024</v>
      </c>
      <c r="D895">
        <v>451.69</v>
      </c>
      <c r="E895">
        <v>17</v>
      </c>
      <c r="F895">
        <v>755703.82</v>
      </c>
      <c r="G895">
        <v>538.66999999999996</v>
      </c>
      <c r="H895" s="2"/>
    </row>
    <row r="896" spans="1:8" hidden="1" x14ac:dyDescent="0.25">
      <c r="A896">
        <v>2022</v>
      </c>
      <c r="B896" t="s">
        <v>12</v>
      </c>
      <c r="C896">
        <v>2019</v>
      </c>
      <c r="D896">
        <v>779.81</v>
      </c>
      <c r="E896">
        <v>19</v>
      </c>
      <c r="F896">
        <v>674984.68</v>
      </c>
      <c r="G896">
        <v>401.76</v>
      </c>
      <c r="H896" s="2">
        <f t="shared" ref="H896" si="147">SUM(E896:E901)</f>
        <v>104</v>
      </c>
    </row>
    <row r="897" spans="1:8" hidden="1" x14ac:dyDescent="0.25">
      <c r="A897">
        <v>2022</v>
      </c>
      <c r="B897" t="s">
        <v>12</v>
      </c>
      <c r="C897">
        <v>2020</v>
      </c>
      <c r="D897">
        <v>1448.97</v>
      </c>
      <c r="E897">
        <v>38</v>
      </c>
      <c r="F897">
        <v>648149.07999999996</v>
      </c>
      <c r="G897">
        <v>393.27</v>
      </c>
      <c r="H897" s="2"/>
    </row>
    <row r="898" spans="1:8" hidden="1" x14ac:dyDescent="0.25">
      <c r="A898">
        <v>2022</v>
      </c>
      <c r="B898" t="s">
        <v>12</v>
      </c>
      <c r="C898">
        <v>2021</v>
      </c>
      <c r="D898">
        <v>177.17</v>
      </c>
      <c r="E898">
        <v>8</v>
      </c>
      <c r="F898">
        <v>662663.48</v>
      </c>
      <c r="G898">
        <v>396.59</v>
      </c>
      <c r="H898" s="2"/>
    </row>
    <row r="899" spans="1:8" hidden="1" x14ac:dyDescent="0.25">
      <c r="A899">
        <v>2022</v>
      </c>
      <c r="B899" t="s">
        <v>12</v>
      </c>
      <c r="C899">
        <v>2022</v>
      </c>
      <c r="D899">
        <v>275.45999999999998</v>
      </c>
      <c r="E899">
        <v>6</v>
      </c>
      <c r="F899">
        <v>633686.19999999995</v>
      </c>
      <c r="G899">
        <v>392.86</v>
      </c>
      <c r="H899" s="2"/>
    </row>
    <row r="900" spans="1:8" hidden="1" x14ac:dyDescent="0.25">
      <c r="A900">
        <v>2022</v>
      </c>
      <c r="B900" t="s">
        <v>12</v>
      </c>
      <c r="C900">
        <v>2023</v>
      </c>
      <c r="D900">
        <v>587.75</v>
      </c>
      <c r="E900">
        <v>11</v>
      </c>
      <c r="F900">
        <v>668409.98</v>
      </c>
      <c r="G900">
        <v>397.81</v>
      </c>
      <c r="H900" s="2"/>
    </row>
    <row r="901" spans="1:8" hidden="1" x14ac:dyDescent="0.25">
      <c r="A901">
        <v>2022</v>
      </c>
      <c r="B901" t="s">
        <v>12</v>
      </c>
      <c r="C901">
        <v>2024</v>
      </c>
      <c r="D901">
        <v>984.68</v>
      </c>
      <c r="E901">
        <v>22</v>
      </c>
      <c r="F901">
        <v>672440.42</v>
      </c>
      <c r="G901">
        <v>398.02</v>
      </c>
      <c r="H901" s="2"/>
    </row>
    <row r="902" spans="1:8" hidden="1" x14ac:dyDescent="0.25">
      <c r="A902">
        <v>2022</v>
      </c>
      <c r="B902" t="s">
        <v>13</v>
      </c>
      <c r="C902">
        <v>2019</v>
      </c>
      <c r="D902">
        <v>569.78</v>
      </c>
      <c r="E902">
        <v>12</v>
      </c>
      <c r="F902">
        <v>709855.62</v>
      </c>
      <c r="G902">
        <v>387.73</v>
      </c>
      <c r="H902" s="2">
        <f t="shared" ref="H902" si="148">SUM(E902:E907)</f>
        <v>75</v>
      </c>
    </row>
    <row r="903" spans="1:8" hidden="1" x14ac:dyDescent="0.25">
      <c r="A903">
        <v>2022</v>
      </c>
      <c r="B903" t="s">
        <v>13</v>
      </c>
      <c r="C903">
        <v>2020</v>
      </c>
      <c r="D903">
        <v>749.58</v>
      </c>
      <c r="E903">
        <v>22</v>
      </c>
      <c r="F903">
        <v>680916.15</v>
      </c>
      <c r="G903">
        <v>380.93</v>
      </c>
      <c r="H903" s="2"/>
    </row>
    <row r="904" spans="1:8" hidden="1" x14ac:dyDescent="0.25">
      <c r="A904">
        <v>2022</v>
      </c>
      <c r="B904" t="s">
        <v>13</v>
      </c>
      <c r="C904">
        <v>2021</v>
      </c>
      <c r="D904">
        <v>95.78</v>
      </c>
      <c r="E904">
        <v>2</v>
      </c>
      <c r="F904">
        <v>695459.65</v>
      </c>
      <c r="G904">
        <v>384.47</v>
      </c>
      <c r="H904" s="2"/>
    </row>
    <row r="905" spans="1:8" hidden="1" x14ac:dyDescent="0.25">
      <c r="A905">
        <v>2022</v>
      </c>
      <c r="B905" t="s">
        <v>13</v>
      </c>
      <c r="C905">
        <v>2022</v>
      </c>
      <c r="D905">
        <v>407.43</v>
      </c>
      <c r="E905">
        <v>10</v>
      </c>
      <c r="F905">
        <v>662900.31000000006</v>
      </c>
      <c r="G905">
        <v>380.53</v>
      </c>
      <c r="H905" s="2"/>
    </row>
    <row r="906" spans="1:8" hidden="1" x14ac:dyDescent="0.25">
      <c r="A906">
        <v>2022</v>
      </c>
      <c r="B906" t="s">
        <v>13</v>
      </c>
      <c r="C906">
        <v>2023</v>
      </c>
      <c r="D906">
        <v>408.67</v>
      </c>
      <c r="E906">
        <v>8</v>
      </c>
      <c r="F906">
        <v>701429.74</v>
      </c>
      <c r="G906">
        <v>386.16</v>
      </c>
      <c r="H906" s="2"/>
    </row>
    <row r="907" spans="1:8" hidden="1" x14ac:dyDescent="0.25">
      <c r="A907">
        <v>2022</v>
      </c>
      <c r="B907" t="s">
        <v>13</v>
      </c>
      <c r="C907">
        <v>2024</v>
      </c>
      <c r="D907">
        <v>972.6</v>
      </c>
      <c r="E907">
        <v>21</v>
      </c>
      <c r="F907">
        <v>709878.02</v>
      </c>
      <c r="G907">
        <v>385.23</v>
      </c>
      <c r="H907" s="2"/>
    </row>
    <row r="908" spans="1:8" hidden="1" x14ac:dyDescent="0.25">
      <c r="A908">
        <v>2022</v>
      </c>
      <c r="B908" t="s">
        <v>14</v>
      </c>
      <c r="C908">
        <v>2019</v>
      </c>
      <c r="D908">
        <v>655.94</v>
      </c>
      <c r="E908">
        <v>14</v>
      </c>
      <c r="F908">
        <v>651064.73</v>
      </c>
      <c r="G908">
        <v>533.04999999999995</v>
      </c>
      <c r="H908" s="2">
        <f t="shared" ref="H908" si="149">SUM(E908:E913)</f>
        <v>85</v>
      </c>
    </row>
    <row r="909" spans="1:8" hidden="1" x14ac:dyDescent="0.25">
      <c r="A909">
        <v>2022</v>
      </c>
      <c r="B909" t="s">
        <v>14</v>
      </c>
      <c r="C909">
        <v>2020</v>
      </c>
      <c r="D909">
        <v>856.41</v>
      </c>
      <c r="E909">
        <v>21</v>
      </c>
      <c r="F909">
        <v>629428.84</v>
      </c>
      <c r="G909">
        <v>526.44000000000005</v>
      </c>
      <c r="H909" s="2"/>
    </row>
    <row r="910" spans="1:8" hidden="1" x14ac:dyDescent="0.25">
      <c r="A910">
        <v>2022</v>
      </c>
      <c r="B910" t="s">
        <v>14</v>
      </c>
      <c r="C910">
        <v>2021</v>
      </c>
      <c r="D910">
        <v>339.75</v>
      </c>
      <c r="E910">
        <v>10</v>
      </c>
      <c r="F910">
        <v>639220.56000000006</v>
      </c>
      <c r="G910">
        <v>525.88</v>
      </c>
      <c r="H910" s="2"/>
    </row>
    <row r="911" spans="1:8" hidden="1" x14ac:dyDescent="0.25">
      <c r="A911">
        <v>2022</v>
      </c>
      <c r="B911" t="s">
        <v>14</v>
      </c>
      <c r="C911">
        <v>2022</v>
      </c>
      <c r="D911">
        <v>110.61</v>
      </c>
      <c r="E911">
        <v>4</v>
      </c>
      <c r="F911">
        <v>618943.15</v>
      </c>
      <c r="G911">
        <v>527.07000000000005</v>
      </c>
      <c r="H911" s="2"/>
    </row>
    <row r="912" spans="1:8" hidden="1" x14ac:dyDescent="0.25">
      <c r="A912">
        <v>2022</v>
      </c>
      <c r="B912" t="s">
        <v>14</v>
      </c>
      <c r="C912">
        <v>2023</v>
      </c>
      <c r="D912">
        <v>652.46</v>
      </c>
      <c r="E912">
        <v>9</v>
      </c>
      <c r="F912">
        <v>632314.76</v>
      </c>
      <c r="G912">
        <v>531.9</v>
      </c>
      <c r="H912" s="2"/>
    </row>
    <row r="913" spans="1:8" hidden="1" x14ac:dyDescent="0.25">
      <c r="A913">
        <v>2022</v>
      </c>
      <c r="B913" t="s">
        <v>14</v>
      </c>
      <c r="C913">
        <v>2024</v>
      </c>
      <c r="D913">
        <v>1066.9000000000001</v>
      </c>
      <c r="E913">
        <v>27</v>
      </c>
      <c r="F913">
        <v>635492.97</v>
      </c>
      <c r="G913">
        <v>527.15</v>
      </c>
      <c r="H913" s="2"/>
    </row>
    <row r="914" spans="1:8" hidden="1" x14ac:dyDescent="0.25">
      <c r="A914">
        <v>2022</v>
      </c>
      <c r="B914" t="s">
        <v>15</v>
      </c>
      <c r="C914">
        <v>2019</v>
      </c>
      <c r="D914">
        <v>592.38</v>
      </c>
      <c r="E914">
        <v>14</v>
      </c>
      <c r="F914">
        <v>659260.32999999996</v>
      </c>
      <c r="G914">
        <v>523.36</v>
      </c>
      <c r="H914" s="2">
        <f t="shared" ref="H914" si="150">SUM(E914:E919)</f>
        <v>76</v>
      </c>
    </row>
    <row r="915" spans="1:8" hidden="1" x14ac:dyDescent="0.25">
      <c r="A915">
        <v>2022</v>
      </c>
      <c r="B915" t="s">
        <v>15</v>
      </c>
      <c r="C915">
        <v>2020</v>
      </c>
      <c r="D915">
        <v>738.79</v>
      </c>
      <c r="E915">
        <v>17</v>
      </c>
      <c r="F915">
        <v>637336.66</v>
      </c>
      <c r="G915">
        <v>516.55999999999995</v>
      </c>
      <c r="H915" s="2"/>
    </row>
    <row r="916" spans="1:8" hidden="1" x14ac:dyDescent="0.25">
      <c r="A916">
        <v>2022</v>
      </c>
      <c r="B916" t="s">
        <v>15</v>
      </c>
      <c r="C916">
        <v>2021</v>
      </c>
      <c r="D916">
        <v>354.37</v>
      </c>
      <c r="E916">
        <v>12</v>
      </c>
      <c r="F916">
        <v>648308.85</v>
      </c>
      <c r="G916">
        <v>516.19000000000005</v>
      </c>
      <c r="H916" s="2"/>
    </row>
    <row r="917" spans="1:8" hidden="1" x14ac:dyDescent="0.25">
      <c r="A917">
        <v>2022</v>
      </c>
      <c r="B917" t="s">
        <v>15</v>
      </c>
      <c r="C917">
        <v>2022</v>
      </c>
      <c r="D917">
        <v>109.43</v>
      </c>
      <c r="E917">
        <v>4</v>
      </c>
      <c r="F917">
        <v>626710.02</v>
      </c>
      <c r="G917">
        <v>516.19000000000005</v>
      </c>
      <c r="H917" s="2"/>
    </row>
    <row r="918" spans="1:8" hidden="1" x14ac:dyDescent="0.25">
      <c r="A918">
        <v>2022</v>
      </c>
      <c r="B918" t="s">
        <v>15</v>
      </c>
      <c r="C918">
        <v>2023</v>
      </c>
      <c r="D918">
        <v>607.91999999999996</v>
      </c>
      <c r="E918">
        <v>8</v>
      </c>
      <c r="F918">
        <v>641737.47</v>
      </c>
      <c r="G918">
        <v>521.11</v>
      </c>
      <c r="H918" s="2"/>
    </row>
    <row r="919" spans="1:8" hidden="1" x14ac:dyDescent="0.25">
      <c r="A919">
        <v>2022</v>
      </c>
      <c r="B919" t="s">
        <v>15</v>
      </c>
      <c r="C919">
        <v>2024</v>
      </c>
      <c r="D919">
        <v>921.86</v>
      </c>
      <c r="E919">
        <v>21</v>
      </c>
      <c r="F919">
        <v>648115.13</v>
      </c>
      <c r="G919">
        <v>518.5</v>
      </c>
      <c r="H919" s="2"/>
    </row>
    <row r="920" spans="1:8" hidden="1" x14ac:dyDescent="0.25">
      <c r="A920">
        <v>2022</v>
      </c>
      <c r="B920" t="s">
        <v>16</v>
      </c>
      <c r="C920">
        <v>2019</v>
      </c>
      <c r="D920">
        <v>355.52</v>
      </c>
      <c r="E920">
        <v>13</v>
      </c>
      <c r="F920">
        <v>811990</v>
      </c>
      <c r="G920">
        <v>413.3</v>
      </c>
      <c r="H920" s="2">
        <f t="shared" ref="H920" si="151">SUM(E920:E925)</f>
        <v>84</v>
      </c>
    </row>
    <row r="921" spans="1:8" hidden="1" x14ac:dyDescent="0.25">
      <c r="A921">
        <v>2022</v>
      </c>
      <c r="B921" t="s">
        <v>16</v>
      </c>
      <c r="C921">
        <v>2020</v>
      </c>
      <c r="D921">
        <v>937.59</v>
      </c>
      <c r="E921">
        <v>19</v>
      </c>
      <c r="F921">
        <v>788617.4</v>
      </c>
      <c r="G921">
        <v>414.78</v>
      </c>
      <c r="H921" s="2"/>
    </row>
    <row r="922" spans="1:8" hidden="1" x14ac:dyDescent="0.25">
      <c r="A922">
        <v>2022</v>
      </c>
      <c r="B922" t="s">
        <v>16</v>
      </c>
      <c r="C922">
        <v>2021</v>
      </c>
      <c r="D922">
        <v>92.05</v>
      </c>
      <c r="E922">
        <v>3</v>
      </c>
      <c r="F922">
        <v>797509.45</v>
      </c>
      <c r="G922">
        <v>411.84</v>
      </c>
      <c r="H922" s="2"/>
    </row>
    <row r="923" spans="1:8" hidden="1" x14ac:dyDescent="0.25">
      <c r="A923">
        <v>2022</v>
      </c>
      <c r="B923" t="s">
        <v>16</v>
      </c>
      <c r="C923">
        <v>2022</v>
      </c>
      <c r="D923">
        <v>506.55</v>
      </c>
      <c r="E923">
        <v>14</v>
      </c>
      <c r="F923">
        <v>756431.96</v>
      </c>
      <c r="G923">
        <v>407.78</v>
      </c>
      <c r="H923" s="2"/>
    </row>
    <row r="924" spans="1:8" hidden="1" x14ac:dyDescent="0.25">
      <c r="A924">
        <v>2022</v>
      </c>
      <c r="B924" t="s">
        <v>16</v>
      </c>
      <c r="C924">
        <v>2023</v>
      </c>
      <c r="D924">
        <v>580.89</v>
      </c>
      <c r="E924">
        <v>10</v>
      </c>
      <c r="F924">
        <v>795224.51</v>
      </c>
      <c r="G924">
        <v>413.27</v>
      </c>
      <c r="H924" s="2"/>
    </row>
    <row r="925" spans="1:8" hidden="1" x14ac:dyDescent="0.25">
      <c r="A925">
        <v>2022</v>
      </c>
      <c r="B925" t="s">
        <v>16</v>
      </c>
      <c r="C925">
        <v>2024</v>
      </c>
      <c r="D925">
        <v>1100.32</v>
      </c>
      <c r="E925">
        <v>25</v>
      </c>
      <c r="F925">
        <v>804962.04</v>
      </c>
      <c r="G925">
        <v>409.4</v>
      </c>
      <c r="H925" s="2"/>
    </row>
    <row r="926" spans="1:8" hidden="1" x14ac:dyDescent="0.25">
      <c r="A926">
        <v>2022</v>
      </c>
      <c r="B926" t="s">
        <v>17</v>
      </c>
      <c r="C926">
        <v>2019</v>
      </c>
      <c r="D926">
        <v>434.59</v>
      </c>
      <c r="E926">
        <v>15</v>
      </c>
      <c r="F926">
        <v>786178.05</v>
      </c>
      <c r="G926">
        <v>466.99</v>
      </c>
      <c r="H926" s="2">
        <f t="shared" ref="H926" si="152">SUM(E926:E931)</f>
        <v>80</v>
      </c>
    </row>
    <row r="927" spans="1:8" hidden="1" x14ac:dyDescent="0.25">
      <c r="A927">
        <v>2022</v>
      </c>
      <c r="B927" t="s">
        <v>17</v>
      </c>
      <c r="C927">
        <v>2020</v>
      </c>
      <c r="D927">
        <v>942.67</v>
      </c>
      <c r="E927">
        <v>19</v>
      </c>
      <c r="F927">
        <v>763309.85</v>
      </c>
      <c r="G927">
        <v>468.46</v>
      </c>
      <c r="H927" s="2"/>
    </row>
    <row r="928" spans="1:8" hidden="1" x14ac:dyDescent="0.25">
      <c r="A928">
        <v>2022</v>
      </c>
      <c r="B928" t="s">
        <v>17</v>
      </c>
      <c r="C928">
        <v>2021</v>
      </c>
      <c r="D928">
        <v>77.05</v>
      </c>
      <c r="E928">
        <v>2</v>
      </c>
      <c r="F928">
        <v>772088.7</v>
      </c>
      <c r="G928">
        <v>465.13</v>
      </c>
      <c r="H928" s="2"/>
    </row>
    <row r="929" spans="1:8" hidden="1" x14ac:dyDescent="0.25">
      <c r="A929">
        <v>2022</v>
      </c>
      <c r="B929" t="s">
        <v>17</v>
      </c>
      <c r="C929">
        <v>2022</v>
      </c>
      <c r="D929">
        <v>456.6</v>
      </c>
      <c r="E929">
        <v>17</v>
      </c>
      <c r="F929">
        <v>733463.17</v>
      </c>
      <c r="G929">
        <v>460.25</v>
      </c>
      <c r="H929" s="2"/>
    </row>
    <row r="930" spans="1:8" hidden="1" x14ac:dyDescent="0.25">
      <c r="A930">
        <v>2022</v>
      </c>
      <c r="B930" t="s">
        <v>17</v>
      </c>
      <c r="C930">
        <v>2023</v>
      </c>
      <c r="D930">
        <v>494.52</v>
      </c>
      <c r="E930">
        <v>10</v>
      </c>
      <c r="F930">
        <v>769060.19</v>
      </c>
      <c r="G930">
        <v>466.85</v>
      </c>
      <c r="H930" s="2"/>
    </row>
    <row r="931" spans="1:8" hidden="1" x14ac:dyDescent="0.25">
      <c r="A931">
        <v>2022</v>
      </c>
      <c r="B931" t="s">
        <v>17</v>
      </c>
      <c r="C931">
        <v>2024</v>
      </c>
      <c r="D931">
        <v>774.01</v>
      </c>
      <c r="E931">
        <v>17</v>
      </c>
      <c r="F931">
        <v>779188.17</v>
      </c>
      <c r="G931">
        <v>462.87</v>
      </c>
      <c r="H931" s="2"/>
    </row>
    <row r="932" spans="1:8" hidden="1" x14ac:dyDescent="0.25">
      <c r="A932">
        <v>2022</v>
      </c>
      <c r="B932" t="s">
        <v>18</v>
      </c>
      <c r="C932">
        <v>2019</v>
      </c>
      <c r="D932">
        <v>286.08</v>
      </c>
      <c r="E932">
        <v>5</v>
      </c>
      <c r="F932">
        <v>680857.97</v>
      </c>
      <c r="G932">
        <v>377.67</v>
      </c>
      <c r="H932" s="2">
        <f t="shared" ref="H932" si="153">SUM(E932:E937)</f>
        <v>50</v>
      </c>
    </row>
    <row r="933" spans="1:8" hidden="1" x14ac:dyDescent="0.25">
      <c r="A933">
        <v>2022</v>
      </c>
      <c r="B933" t="s">
        <v>18</v>
      </c>
      <c r="C933">
        <v>2020</v>
      </c>
      <c r="D933">
        <v>61.51</v>
      </c>
      <c r="E933">
        <v>2</v>
      </c>
      <c r="F933">
        <v>657570.31000000006</v>
      </c>
      <c r="G933">
        <v>377.2</v>
      </c>
      <c r="H933" s="2"/>
    </row>
    <row r="934" spans="1:8" hidden="1" x14ac:dyDescent="0.25">
      <c r="A934">
        <v>2022</v>
      </c>
      <c r="B934" t="s">
        <v>18</v>
      </c>
      <c r="C934">
        <v>2021</v>
      </c>
      <c r="D934">
        <v>920.55</v>
      </c>
      <c r="E934">
        <v>14</v>
      </c>
      <c r="F934">
        <v>650411.71</v>
      </c>
      <c r="G934">
        <v>374.15</v>
      </c>
      <c r="H934" s="2"/>
    </row>
    <row r="935" spans="1:8" hidden="1" x14ac:dyDescent="0.25">
      <c r="A935">
        <v>2022</v>
      </c>
      <c r="B935" t="s">
        <v>18</v>
      </c>
      <c r="C935">
        <v>2022</v>
      </c>
      <c r="D935">
        <v>1399.67</v>
      </c>
      <c r="E935">
        <v>21</v>
      </c>
      <c r="F935">
        <v>645837.41</v>
      </c>
      <c r="G935">
        <v>372.46</v>
      </c>
      <c r="H935" s="2"/>
    </row>
    <row r="936" spans="1:8" hidden="1" x14ac:dyDescent="0.25">
      <c r="A936">
        <v>2022</v>
      </c>
      <c r="B936" t="s">
        <v>18</v>
      </c>
      <c r="C936">
        <v>2023</v>
      </c>
      <c r="D936">
        <v>44.73</v>
      </c>
      <c r="E936">
        <v>2</v>
      </c>
      <c r="F936">
        <v>661962.21</v>
      </c>
      <c r="G936">
        <v>377.57</v>
      </c>
      <c r="H936" s="2"/>
    </row>
    <row r="937" spans="1:8" hidden="1" x14ac:dyDescent="0.25">
      <c r="A937">
        <v>2022</v>
      </c>
      <c r="B937" t="s">
        <v>18</v>
      </c>
      <c r="C937">
        <v>2024</v>
      </c>
      <c r="D937">
        <v>211.42</v>
      </c>
      <c r="E937">
        <v>6</v>
      </c>
      <c r="F937">
        <v>635930.02</v>
      </c>
      <c r="G937">
        <v>372.2</v>
      </c>
      <c r="H937" s="2"/>
    </row>
    <row r="938" spans="1:8" hidden="1" x14ac:dyDescent="0.25">
      <c r="A938">
        <v>2022</v>
      </c>
      <c r="B938" t="s">
        <v>19</v>
      </c>
      <c r="C938">
        <v>2019</v>
      </c>
      <c r="D938">
        <v>327.33</v>
      </c>
      <c r="E938">
        <v>5</v>
      </c>
      <c r="F938">
        <v>766526.75</v>
      </c>
      <c r="G938">
        <v>364.04</v>
      </c>
      <c r="H938" s="2">
        <f t="shared" ref="H938" si="154">SUM(E938:E943)</f>
        <v>45</v>
      </c>
    </row>
    <row r="939" spans="1:8" hidden="1" x14ac:dyDescent="0.25">
      <c r="A939">
        <v>2022</v>
      </c>
      <c r="B939" t="s">
        <v>19</v>
      </c>
      <c r="C939">
        <v>2020</v>
      </c>
      <c r="D939">
        <v>175.03</v>
      </c>
      <c r="E939">
        <v>3</v>
      </c>
      <c r="F939">
        <v>739286.18</v>
      </c>
      <c r="G939">
        <v>362.83</v>
      </c>
      <c r="H939" s="2"/>
    </row>
    <row r="940" spans="1:8" hidden="1" x14ac:dyDescent="0.25">
      <c r="A940">
        <v>2022</v>
      </c>
      <c r="B940" t="s">
        <v>19</v>
      </c>
      <c r="C940">
        <v>2021</v>
      </c>
      <c r="D940">
        <v>436.67</v>
      </c>
      <c r="E940">
        <v>7</v>
      </c>
      <c r="F940">
        <v>735763.85</v>
      </c>
      <c r="G940">
        <v>361.64</v>
      </c>
      <c r="H940" s="2"/>
    </row>
    <row r="941" spans="1:8" hidden="1" x14ac:dyDescent="0.25">
      <c r="A941">
        <v>2022</v>
      </c>
      <c r="B941" t="s">
        <v>19</v>
      </c>
      <c r="C941">
        <v>2022</v>
      </c>
      <c r="D941">
        <v>1055.57</v>
      </c>
      <c r="E941">
        <v>24</v>
      </c>
      <c r="F941">
        <v>719583.34</v>
      </c>
      <c r="G941">
        <v>357.77</v>
      </c>
      <c r="H941" s="2"/>
    </row>
    <row r="942" spans="1:8" hidden="1" x14ac:dyDescent="0.25">
      <c r="A942">
        <v>2022</v>
      </c>
      <c r="B942" t="s">
        <v>19</v>
      </c>
      <c r="C942">
        <v>2023</v>
      </c>
      <c r="D942">
        <v>116.33</v>
      </c>
      <c r="E942">
        <v>2</v>
      </c>
      <c r="F942">
        <v>748816.51</v>
      </c>
      <c r="G942">
        <v>364.82</v>
      </c>
      <c r="H942" s="2"/>
    </row>
    <row r="943" spans="1:8" hidden="1" x14ac:dyDescent="0.25">
      <c r="A943">
        <v>2022</v>
      </c>
      <c r="B943" t="s">
        <v>19</v>
      </c>
      <c r="C943">
        <v>2024</v>
      </c>
      <c r="D943">
        <v>233.53</v>
      </c>
      <c r="E943">
        <v>4</v>
      </c>
      <c r="F943">
        <v>710723.62</v>
      </c>
      <c r="G943">
        <v>359.06</v>
      </c>
      <c r="H943" s="2"/>
    </row>
    <row r="944" spans="1:8" hidden="1" x14ac:dyDescent="0.25">
      <c r="A944">
        <v>2022</v>
      </c>
      <c r="B944" t="s">
        <v>20</v>
      </c>
      <c r="C944">
        <v>2019</v>
      </c>
      <c r="D944">
        <v>904.79</v>
      </c>
      <c r="E944">
        <v>27</v>
      </c>
      <c r="F944">
        <v>658734.65</v>
      </c>
      <c r="G944">
        <v>277.77</v>
      </c>
      <c r="H944" s="2">
        <f t="shared" ref="H944" si="155">SUM(E944:E949)</f>
        <v>110</v>
      </c>
    </row>
    <row r="945" spans="1:8" hidden="1" x14ac:dyDescent="0.25">
      <c r="A945">
        <v>2022</v>
      </c>
      <c r="B945" t="s">
        <v>20</v>
      </c>
      <c r="C945">
        <v>2020</v>
      </c>
      <c r="D945">
        <v>441.55</v>
      </c>
      <c r="E945">
        <v>14</v>
      </c>
      <c r="F945">
        <v>648444.59</v>
      </c>
      <c r="G945">
        <v>276.75</v>
      </c>
      <c r="H945" s="2"/>
    </row>
    <row r="946" spans="1:8" hidden="1" x14ac:dyDescent="0.25">
      <c r="A946">
        <v>2022</v>
      </c>
      <c r="B946" t="s">
        <v>20</v>
      </c>
      <c r="C946">
        <v>2021</v>
      </c>
      <c r="D946">
        <v>1508.18</v>
      </c>
      <c r="E946">
        <v>44</v>
      </c>
      <c r="F946">
        <v>619564.94999999995</v>
      </c>
      <c r="G946">
        <v>270.14999999999998</v>
      </c>
      <c r="H946" s="2"/>
    </row>
    <row r="947" spans="1:8" hidden="1" x14ac:dyDescent="0.25">
      <c r="A947">
        <v>2022</v>
      </c>
      <c r="B947" t="s">
        <v>20</v>
      </c>
      <c r="C947">
        <v>2022</v>
      </c>
      <c r="D947">
        <v>176.78</v>
      </c>
      <c r="E947">
        <v>8</v>
      </c>
      <c r="F947">
        <v>621089.12</v>
      </c>
      <c r="G947">
        <v>276.33999999999997</v>
      </c>
      <c r="H947" s="2"/>
    </row>
    <row r="948" spans="1:8" hidden="1" x14ac:dyDescent="0.25">
      <c r="A948">
        <v>2022</v>
      </c>
      <c r="B948" t="s">
        <v>20</v>
      </c>
      <c r="C948">
        <v>2023</v>
      </c>
      <c r="D948">
        <v>172.47</v>
      </c>
      <c r="E948">
        <v>8</v>
      </c>
      <c r="F948">
        <v>640273</v>
      </c>
      <c r="G948">
        <v>275.88</v>
      </c>
      <c r="H948" s="2"/>
    </row>
    <row r="949" spans="1:8" hidden="1" x14ac:dyDescent="0.25">
      <c r="A949">
        <v>2022</v>
      </c>
      <c r="B949" t="s">
        <v>20</v>
      </c>
      <c r="C949">
        <v>2024</v>
      </c>
      <c r="D949">
        <v>236.04</v>
      </c>
      <c r="E949">
        <v>9</v>
      </c>
      <c r="F949">
        <v>629705.06999999995</v>
      </c>
      <c r="G949">
        <v>278.14</v>
      </c>
      <c r="H949" s="2"/>
    </row>
    <row r="950" spans="1:8" hidden="1" x14ac:dyDescent="0.25">
      <c r="A950">
        <v>2022</v>
      </c>
      <c r="B950" t="s">
        <v>21</v>
      </c>
      <c r="C950">
        <v>2019</v>
      </c>
      <c r="D950">
        <v>334.46</v>
      </c>
      <c r="E950">
        <v>15</v>
      </c>
      <c r="F950">
        <v>703446.29</v>
      </c>
      <c r="G950">
        <v>292.18</v>
      </c>
      <c r="H950" s="2">
        <f t="shared" ref="H950" si="156">SUM(E950:E955)</f>
        <v>45</v>
      </c>
    </row>
    <row r="951" spans="1:8" hidden="1" x14ac:dyDescent="0.25">
      <c r="A951">
        <v>2022</v>
      </c>
      <c r="B951" t="s">
        <v>21</v>
      </c>
      <c r="C951">
        <v>2020</v>
      </c>
      <c r="D951">
        <v>95.53</v>
      </c>
      <c r="E951">
        <v>5</v>
      </c>
      <c r="F951">
        <v>692478.94</v>
      </c>
      <c r="G951">
        <v>294.17</v>
      </c>
      <c r="H951" s="2"/>
    </row>
    <row r="952" spans="1:8" hidden="1" x14ac:dyDescent="0.25">
      <c r="A952">
        <v>2022</v>
      </c>
      <c r="B952" t="s">
        <v>21</v>
      </c>
      <c r="C952">
        <v>2021</v>
      </c>
      <c r="D952">
        <v>395.2</v>
      </c>
      <c r="E952">
        <v>11</v>
      </c>
      <c r="F952">
        <v>664553.04</v>
      </c>
      <c r="G952">
        <v>288.02</v>
      </c>
      <c r="H952" s="2"/>
    </row>
    <row r="953" spans="1:8" hidden="1" x14ac:dyDescent="0.25">
      <c r="A953">
        <v>2022</v>
      </c>
      <c r="B953" t="s">
        <v>21</v>
      </c>
      <c r="C953">
        <v>2022</v>
      </c>
      <c r="D953">
        <v>167.07</v>
      </c>
      <c r="E953">
        <v>9</v>
      </c>
      <c r="F953">
        <v>666346.85</v>
      </c>
      <c r="G953">
        <v>292.04000000000002</v>
      </c>
      <c r="H953" s="2"/>
    </row>
    <row r="954" spans="1:8" hidden="1" x14ac:dyDescent="0.25">
      <c r="A954">
        <v>2022</v>
      </c>
      <c r="B954" t="s">
        <v>21</v>
      </c>
      <c r="C954">
        <v>2023</v>
      </c>
      <c r="D954">
        <v>11.43</v>
      </c>
      <c r="E954">
        <v>2</v>
      </c>
      <c r="F954">
        <v>682867.04</v>
      </c>
      <c r="G954">
        <v>292.97000000000003</v>
      </c>
      <c r="H954" s="2"/>
    </row>
    <row r="955" spans="1:8" hidden="1" x14ac:dyDescent="0.25">
      <c r="A955">
        <v>2022</v>
      </c>
      <c r="B955" t="s">
        <v>21</v>
      </c>
      <c r="C955">
        <v>2024</v>
      </c>
      <c r="D955">
        <v>72.760000000000005</v>
      </c>
      <c r="E955">
        <v>3</v>
      </c>
      <c r="F955">
        <v>674736.16</v>
      </c>
      <c r="G955">
        <v>294.52</v>
      </c>
      <c r="H955" s="2"/>
    </row>
    <row r="956" spans="1:8" hidden="1" x14ac:dyDescent="0.25">
      <c r="A956">
        <v>2022</v>
      </c>
      <c r="B956" t="s">
        <v>22</v>
      </c>
      <c r="C956">
        <v>2019</v>
      </c>
      <c r="D956">
        <v>139.49</v>
      </c>
      <c r="E956">
        <v>2</v>
      </c>
      <c r="F956">
        <v>775936.98</v>
      </c>
      <c r="G956">
        <v>520.05999999999995</v>
      </c>
      <c r="H956" s="2">
        <f t="shared" ref="H956" si="157">SUM(E956:E961)</f>
        <v>114</v>
      </c>
    </row>
    <row r="957" spans="1:8" hidden="1" x14ac:dyDescent="0.25">
      <c r="A957">
        <v>2022</v>
      </c>
      <c r="B957" t="s">
        <v>22</v>
      </c>
      <c r="C957">
        <v>2020</v>
      </c>
      <c r="D957">
        <v>1046.8599999999999</v>
      </c>
      <c r="E957">
        <v>25</v>
      </c>
      <c r="F957">
        <v>716068.22</v>
      </c>
      <c r="G957">
        <v>500.37</v>
      </c>
      <c r="H957" s="2"/>
    </row>
    <row r="958" spans="1:8" hidden="1" x14ac:dyDescent="0.25">
      <c r="A958">
        <v>2022</v>
      </c>
      <c r="B958" t="s">
        <v>22</v>
      </c>
      <c r="C958">
        <v>2021</v>
      </c>
      <c r="D958">
        <v>2178.19</v>
      </c>
      <c r="E958">
        <v>41</v>
      </c>
      <c r="F958">
        <v>745921.23</v>
      </c>
      <c r="G958">
        <v>497.71</v>
      </c>
      <c r="H958" s="2"/>
    </row>
    <row r="959" spans="1:8" hidden="1" x14ac:dyDescent="0.25">
      <c r="A959">
        <v>2022</v>
      </c>
      <c r="B959" t="s">
        <v>22</v>
      </c>
      <c r="C959">
        <v>2022</v>
      </c>
      <c r="D959">
        <v>1064.5899999999999</v>
      </c>
      <c r="E959">
        <v>19</v>
      </c>
      <c r="F959">
        <v>707186.48</v>
      </c>
      <c r="G959">
        <v>498.05</v>
      </c>
      <c r="H959" s="2"/>
    </row>
    <row r="960" spans="1:8" hidden="1" x14ac:dyDescent="0.25">
      <c r="A960">
        <v>2022</v>
      </c>
      <c r="B960" t="s">
        <v>22</v>
      </c>
      <c r="C960">
        <v>2023</v>
      </c>
      <c r="D960">
        <v>662.65</v>
      </c>
      <c r="E960">
        <v>16</v>
      </c>
      <c r="F960">
        <v>754850.82</v>
      </c>
      <c r="G960">
        <v>512.71</v>
      </c>
      <c r="H960" s="2"/>
    </row>
    <row r="961" spans="1:8" hidden="1" x14ac:dyDescent="0.25">
      <c r="A961">
        <v>2022</v>
      </c>
      <c r="B961" t="s">
        <v>22</v>
      </c>
      <c r="C961">
        <v>2024</v>
      </c>
      <c r="D961">
        <v>456.32</v>
      </c>
      <c r="E961">
        <v>11</v>
      </c>
      <c r="F961">
        <v>755934.79</v>
      </c>
      <c r="G961">
        <v>513.33000000000004</v>
      </c>
      <c r="H961" s="2"/>
    </row>
    <row r="962" spans="1:8" hidden="1" x14ac:dyDescent="0.25">
      <c r="A962">
        <v>2022</v>
      </c>
      <c r="B962" t="s">
        <v>23</v>
      </c>
      <c r="C962">
        <v>2019</v>
      </c>
      <c r="D962">
        <v>45.26</v>
      </c>
      <c r="E962">
        <v>2</v>
      </c>
      <c r="F962">
        <v>810360.52</v>
      </c>
      <c r="G962">
        <v>263.47000000000003</v>
      </c>
      <c r="H962" s="2">
        <f t="shared" ref="H962" si="158">SUM(E962:E967)</f>
        <v>35</v>
      </c>
    </row>
    <row r="963" spans="1:8" hidden="1" x14ac:dyDescent="0.25">
      <c r="A963">
        <v>2022</v>
      </c>
      <c r="B963" t="s">
        <v>23</v>
      </c>
      <c r="C963">
        <v>2020</v>
      </c>
      <c r="D963">
        <v>91.42</v>
      </c>
      <c r="E963">
        <v>6</v>
      </c>
      <c r="F963">
        <v>788534.47</v>
      </c>
      <c r="G963">
        <v>261.57</v>
      </c>
      <c r="H963" s="2"/>
    </row>
    <row r="964" spans="1:8" hidden="1" x14ac:dyDescent="0.25">
      <c r="A964">
        <v>2022</v>
      </c>
      <c r="B964" t="s">
        <v>23</v>
      </c>
      <c r="C964">
        <v>2021</v>
      </c>
      <c r="D964">
        <v>46.65</v>
      </c>
      <c r="E964">
        <v>6</v>
      </c>
      <c r="F964">
        <v>754784.53</v>
      </c>
      <c r="G964">
        <v>261.83</v>
      </c>
      <c r="H964" s="2"/>
    </row>
    <row r="965" spans="1:8" hidden="1" x14ac:dyDescent="0.25">
      <c r="A965">
        <v>2022</v>
      </c>
      <c r="B965" t="s">
        <v>23</v>
      </c>
      <c r="C965">
        <v>2022</v>
      </c>
      <c r="D965">
        <v>341.29</v>
      </c>
      <c r="E965">
        <v>9</v>
      </c>
      <c r="F965">
        <v>754987.02</v>
      </c>
      <c r="G965">
        <v>260.45999999999998</v>
      </c>
      <c r="H965" s="2"/>
    </row>
    <row r="966" spans="1:8" hidden="1" x14ac:dyDescent="0.25">
      <c r="A966">
        <v>2022</v>
      </c>
      <c r="B966" t="s">
        <v>23</v>
      </c>
      <c r="C966">
        <v>2023</v>
      </c>
      <c r="D966">
        <v>44.69</v>
      </c>
      <c r="E966">
        <v>5</v>
      </c>
      <c r="F966">
        <v>779914.85</v>
      </c>
      <c r="G966">
        <v>261.43</v>
      </c>
      <c r="H966" s="2"/>
    </row>
    <row r="967" spans="1:8" hidden="1" x14ac:dyDescent="0.25">
      <c r="A967">
        <v>2022</v>
      </c>
      <c r="B967" t="s">
        <v>23</v>
      </c>
      <c r="C967">
        <v>2024</v>
      </c>
      <c r="D967">
        <v>63.64</v>
      </c>
      <c r="E967">
        <v>7</v>
      </c>
      <c r="F967">
        <v>770710.82</v>
      </c>
      <c r="G967">
        <v>261.27</v>
      </c>
      <c r="H967" s="2"/>
    </row>
    <row r="968" spans="1:8" hidden="1" x14ac:dyDescent="0.25">
      <c r="A968">
        <v>2022</v>
      </c>
      <c r="B968" t="s">
        <v>24</v>
      </c>
      <c r="C968">
        <v>2019</v>
      </c>
      <c r="D968">
        <v>218.24</v>
      </c>
      <c r="E968">
        <v>3</v>
      </c>
      <c r="F968">
        <v>745667.72</v>
      </c>
      <c r="G968">
        <v>375.87</v>
      </c>
      <c r="H968" s="2">
        <f t="shared" ref="H968" si="159">SUM(E968:E973)</f>
        <v>48</v>
      </c>
    </row>
    <row r="969" spans="1:8" hidden="1" x14ac:dyDescent="0.25">
      <c r="A969">
        <v>2022</v>
      </c>
      <c r="B969" t="s">
        <v>24</v>
      </c>
      <c r="C969">
        <v>2020</v>
      </c>
      <c r="D969">
        <v>103.42</v>
      </c>
      <c r="E969">
        <v>2</v>
      </c>
      <c r="F969">
        <v>719119.5</v>
      </c>
      <c r="G969">
        <v>376.23</v>
      </c>
      <c r="H969" s="2"/>
    </row>
    <row r="970" spans="1:8" hidden="1" x14ac:dyDescent="0.25">
      <c r="A970">
        <v>2022</v>
      </c>
      <c r="B970" t="s">
        <v>24</v>
      </c>
      <c r="C970">
        <v>2021</v>
      </c>
      <c r="D970">
        <v>586.34</v>
      </c>
      <c r="E970">
        <v>10</v>
      </c>
      <c r="F970">
        <v>714598.86</v>
      </c>
      <c r="G970">
        <v>373.17</v>
      </c>
      <c r="H970" s="2"/>
    </row>
    <row r="971" spans="1:8" hidden="1" x14ac:dyDescent="0.25">
      <c r="A971">
        <v>2022</v>
      </c>
      <c r="B971" t="s">
        <v>24</v>
      </c>
      <c r="C971">
        <v>2022</v>
      </c>
      <c r="D971">
        <v>1093.53</v>
      </c>
      <c r="E971">
        <v>22</v>
      </c>
      <c r="F971">
        <v>703485.6</v>
      </c>
      <c r="G971">
        <v>371.45</v>
      </c>
      <c r="H971" s="2"/>
    </row>
    <row r="972" spans="1:8" hidden="1" x14ac:dyDescent="0.25">
      <c r="A972">
        <v>2022</v>
      </c>
      <c r="B972" t="s">
        <v>24</v>
      </c>
      <c r="C972">
        <v>2023</v>
      </c>
      <c r="D972">
        <v>34.75</v>
      </c>
      <c r="E972">
        <v>2</v>
      </c>
      <c r="F972">
        <v>728686.21</v>
      </c>
      <c r="G972">
        <v>377.73</v>
      </c>
      <c r="H972" s="2"/>
    </row>
    <row r="973" spans="1:8" hidden="1" x14ac:dyDescent="0.25">
      <c r="A973">
        <v>2022</v>
      </c>
      <c r="B973" t="s">
        <v>24</v>
      </c>
      <c r="C973">
        <v>2024</v>
      </c>
      <c r="D973">
        <v>471.49</v>
      </c>
      <c r="E973">
        <v>9</v>
      </c>
      <c r="F973">
        <v>690054.64</v>
      </c>
      <c r="G973">
        <v>370.23</v>
      </c>
      <c r="H973" s="2"/>
    </row>
    <row r="974" spans="1:8" hidden="1" x14ac:dyDescent="0.25">
      <c r="A974">
        <v>2022</v>
      </c>
      <c r="B974" t="s">
        <v>25</v>
      </c>
      <c r="C974">
        <v>2019</v>
      </c>
      <c r="D974">
        <v>59.05</v>
      </c>
      <c r="E974">
        <v>8</v>
      </c>
      <c r="F974">
        <v>692859</v>
      </c>
      <c r="G974">
        <v>292.23</v>
      </c>
      <c r="H974" s="2">
        <f t="shared" ref="H974" si="160">SUM(E974:E979)</f>
        <v>60</v>
      </c>
    </row>
    <row r="975" spans="1:8" hidden="1" x14ac:dyDescent="0.25">
      <c r="A975">
        <v>2022</v>
      </c>
      <c r="B975" t="s">
        <v>25</v>
      </c>
      <c r="C975">
        <v>2020</v>
      </c>
      <c r="D975">
        <v>114.68</v>
      </c>
      <c r="E975">
        <v>10</v>
      </c>
      <c r="F975">
        <v>685624.88</v>
      </c>
      <c r="G975">
        <v>290.94</v>
      </c>
      <c r="H975" s="2"/>
    </row>
    <row r="976" spans="1:8" hidden="1" x14ac:dyDescent="0.25">
      <c r="A976">
        <v>2022</v>
      </c>
      <c r="B976" t="s">
        <v>25</v>
      </c>
      <c r="C976">
        <v>2021</v>
      </c>
      <c r="D976">
        <v>269.56</v>
      </c>
      <c r="E976">
        <v>11</v>
      </c>
      <c r="F976">
        <v>658215.26</v>
      </c>
      <c r="G976">
        <v>288.02999999999997</v>
      </c>
      <c r="H976" s="2"/>
    </row>
    <row r="977" spans="1:8" hidden="1" x14ac:dyDescent="0.25">
      <c r="A977">
        <v>2022</v>
      </c>
      <c r="B977" t="s">
        <v>25</v>
      </c>
      <c r="C977">
        <v>2022</v>
      </c>
      <c r="D977">
        <v>458.07</v>
      </c>
      <c r="E977">
        <v>15</v>
      </c>
      <c r="F977">
        <v>661358.35</v>
      </c>
      <c r="G977">
        <v>288.33</v>
      </c>
      <c r="H977" s="2"/>
    </row>
    <row r="978" spans="1:8" hidden="1" x14ac:dyDescent="0.25">
      <c r="A978">
        <v>2022</v>
      </c>
      <c r="B978" t="s">
        <v>25</v>
      </c>
      <c r="C978">
        <v>2023</v>
      </c>
      <c r="D978">
        <v>93</v>
      </c>
      <c r="E978">
        <v>8</v>
      </c>
      <c r="F978">
        <v>682071.18</v>
      </c>
      <c r="G978">
        <v>291.08999999999997</v>
      </c>
      <c r="H978" s="2"/>
    </row>
    <row r="979" spans="1:8" hidden="1" x14ac:dyDescent="0.25">
      <c r="A979">
        <v>2022</v>
      </c>
      <c r="B979" t="s">
        <v>25</v>
      </c>
      <c r="C979">
        <v>2024</v>
      </c>
      <c r="D979">
        <v>129.33000000000001</v>
      </c>
      <c r="E979">
        <v>8</v>
      </c>
      <c r="F979">
        <v>672541.42</v>
      </c>
      <c r="G979">
        <v>291.35000000000002</v>
      </c>
      <c r="H979" s="2"/>
    </row>
    <row r="980" spans="1:8" hidden="1" x14ac:dyDescent="0.25">
      <c r="A980">
        <v>2022</v>
      </c>
      <c r="B980" t="s">
        <v>26</v>
      </c>
      <c r="C980">
        <v>2019</v>
      </c>
      <c r="D980">
        <v>0</v>
      </c>
      <c r="E980">
        <v>0</v>
      </c>
      <c r="F980">
        <v>720970.96</v>
      </c>
      <c r="G980">
        <v>271.93</v>
      </c>
      <c r="H980" s="2">
        <f t="shared" ref="H980" si="161">SUM(E980:E985)</f>
        <v>28</v>
      </c>
    </row>
    <row r="981" spans="1:8" hidden="1" x14ac:dyDescent="0.25">
      <c r="A981">
        <v>2022</v>
      </c>
      <c r="B981" t="s">
        <v>26</v>
      </c>
      <c r="C981">
        <v>2020</v>
      </c>
      <c r="D981">
        <v>60.18</v>
      </c>
      <c r="E981">
        <v>7</v>
      </c>
      <c r="F981">
        <v>704116.25</v>
      </c>
      <c r="G981">
        <v>268.38</v>
      </c>
      <c r="H981" s="2"/>
    </row>
    <row r="982" spans="1:8" hidden="1" x14ac:dyDescent="0.25">
      <c r="A982">
        <v>2022</v>
      </c>
      <c r="B982" t="s">
        <v>26</v>
      </c>
      <c r="C982">
        <v>2021</v>
      </c>
      <c r="D982">
        <v>19.54</v>
      </c>
      <c r="E982">
        <v>3</v>
      </c>
      <c r="F982">
        <v>678411.21</v>
      </c>
      <c r="G982">
        <v>268.3</v>
      </c>
      <c r="H982" s="2"/>
    </row>
    <row r="983" spans="1:8" hidden="1" x14ac:dyDescent="0.25">
      <c r="A983">
        <v>2022</v>
      </c>
      <c r="B983" t="s">
        <v>26</v>
      </c>
      <c r="C983">
        <v>2022</v>
      </c>
      <c r="D983">
        <v>116.58</v>
      </c>
      <c r="E983">
        <v>10</v>
      </c>
      <c r="F983">
        <v>675076.57</v>
      </c>
      <c r="G983">
        <v>267.69</v>
      </c>
      <c r="H983" s="2"/>
    </row>
    <row r="984" spans="1:8" hidden="1" x14ac:dyDescent="0.25">
      <c r="A984">
        <v>2022</v>
      </c>
      <c r="B984" t="s">
        <v>26</v>
      </c>
      <c r="C984">
        <v>2023</v>
      </c>
      <c r="D984">
        <v>99.95</v>
      </c>
      <c r="E984">
        <v>6</v>
      </c>
      <c r="F984">
        <v>696296.24</v>
      </c>
      <c r="G984">
        <v>268.52</v>
      </c>
      <c r="H984" s="2"/>
    </row>
    <row r="985" spans="1:8" hidden="1" x14ac:dyDescent="0.25">
      <c r="A985">
        <v>2022</v>
      </c>
      <c r="B985" t="s">
        <v>26</v>
      </c>
      <c r="C985">
        <v>2024</v>
      </c>
      <c r="D985">
        <v>60.58</v>
      </c>
      <c r="E985">
        <v>2</v>
      </c>
      <c r="F985">
        <v>688504.22</v>
      </c>
      <c r="G985">
        <v>269.45999999999998</v>
      </c>
      <c r="H985" s="2"/>
    </row>
    <row r="986" spans="1:8" hidden="1" x14ac:dyDescent="0.25">
      <c r="A986">
        <v>2022</v>
      </c>
      <c r="B986" t="s">
        <v>27</v>
      </c>
      <c r="C986">
        <v>2019</v>
      </c>
      <c r="D986">
        <v>0</v>
      </c>
      <c r="E986">
        <v>0</v>
      </c>
      <c r="F986">
        <v>791135.44</v>
      </c>
      <c r="G986">
        <v>414.07</v>
      </c>
      <c r="H986" s="2">
        <f t="shared" ref="H986" si="162">SUM(E986:E991)</f>
        <v>20</v>
      </c>
    </row>
    <row r="987" spans="1:8" hidden="1" x14ac:dyDescent="0.25">
      <c r="A987">
        <v>2022</v>
      </c>
      <c r="B987" t="s">
        <v>27</v>
      </c>
      <c r="C987">
        <v>2020</v>
      </c>
      <c r="D987">
        <v>321.86</v>
      </c>
      <c r="E987">
        <v>6</v>
      </c>
      <c r="F987">
        <v>771353.32</v>
      </c>
      <c r="G987">
        <v>411.82</v>
      </c>
      <c r="H987" s="2"/>
    </row>
    <row r="988" spans="1:8" hidden="1" x14ac:dyDescent="0.25">
      <c r="A988">
        <v>2022</v>
      </c>
      <c r="B988" t="s">
        <v>27</v>
      </c>
      <c r="C988">
        <v>2021</v>
      </c>
      <c r="D988">
        <v>315.58</v>
      </c>
      <c r="E988">
        <v>7</v>
      </c>
      <c r="F988">
        <v>764823.76</v>
      </c>
      <c r="G988">
        <v>410.67</v>
      </c>
      <c r="H988" s="2"/>
    </row>
    <row r="989" spans="1:8" hidden="1" x14ac:dyDescent="0.25">
      <c r="A989">
        <v>2022</v>
      </c>
      <c r="B989" t="s">
        <v>27</v>
      </c>
      <c r="C989">
        <v>2022</v>
      </c>
      <c r="D989">
        <v>419.77</v>
      </c>
      <c r="E989">
        <v>7</v>
      </c>
      <c r="F989">
        <v>746086.6</v>
      </c>
      <c r="G989">
        <v>407.95</v>
      </c>
      <c r="H989" s="2"/>
    </row>
    <row r="990" spans="1:8" hidden="1" x14ac:dyDescent="0.25">
      <c r="A990">
        <v>2022</v>
      </c>
      <c r="B990" t="s">
        <v>27</v>
      </c>
      <c r="C990">
        <v>2023</v>
      </c>
      <c r="D990">
        <v>0</v>
      </c>
      <c r="E990">
        <v>0</v>
      </c>
      <c r="F990">
        <v>764097.71</v>
      </c>
      <c r="G990">
        <v>412.38</v>
      </c>
      <c r="H990" s="2"/>
    </row>
    <row r="991" spans="1:8" hidden="1" x14ac:dyDescent="0.25">
      <c r="A991">
        <v>2022</v>
      </c>
      <c r="B991" t="s">
        <v>27</v>
      </c>
      <c r="C991">
        <v>2024</v>
      </c>
      <c r="D991">
        <v>0</v>
      </c>
      <c r="E991">
        <v>0</v>
      </c>
      <c r="F991">
        <v>757640.86</v>
      </c>
      <c r="G991">
        <v>410.88</v>
      </c>
      <c r="H991" s="2"/>
    </row>
    <row r="992" spans="1:8" hidden="1" x14ac:dyDescent="0.25">
      <c r="A992">
        <v>2022</v>
      </c>
      <c r="B992" t="s">
        <v>28</v>
      </c>
      <c r="C992">
        <v>2019</v>
      </c>
      <c r="D992">
        <v>41.04</v>
      </c>
      <c r="E992">
        <v>5</v>
      </c>
      <c r="F992">
        <v>713267.82</v>
      </c>
      <c r="G992">
        <v>259.97000000000003</v>
      </c>
      <c r="H992" s="2">
        <f t="shared" ref="H992" si="163">SUM(E992:E997)</f>
        <v>53</v>
      </c>
    </row>
    <row r="993" spans="1:8" hidden="1" x14ac:dyDescent="0.25">
      <c r="A993">
        <v>2022</v>
      </c>
      <c r="B993" t="s">
        <v>28</v>
      </c>
      <c r="C993">
        <v>2020</v>
      </c>
      <c r="D993">
        <v>131.25</v>
      </c>
      <c r="E993">
        <v>11</v>
      </c>
      <c r="F993">
        <v>699893.81</v>
      </c>
      <c r="G993">
        <v>258.41000000000003</v>
      </c>
      <c r="H993" s="2"/>
    </row>
    <row r="994" spans="1:8" hidden="1" x14ac:dyDescent="0.25">
      <c r="A994">
        <v>2022</v>
      </c>
      <c r="B994" t="s">
        <v>28</v>
      </c>
      <c r="C994">
        <v>2021</v>
      </c>
      <c r="D994">
        <v>282.92</v>
      </c>
      <c r="E994">
        <v>11</v>
      </c>
      <c r="F994">
        <v>671257.01</v>
      </c>
      <c r="G994">
        <v>256.64</v>
      </c>
      <c r="H994" s="2"/>
    </row>
    <row r="995" spans="1:8" hidden="1" x14ac:dyDescent="0.25">
      <c r="A995">
        <v>2022</v>
      </c>
      <c r="B995" t="s">
        <v>28</v>
      </c>
      <c r="C995">
        <v>2022</v>
      </c>
      <c r="D995">
        <v>314.76</v>
      </c>
      <c r="E995">
        <v>11</v>
      </c>
      <c r="F995">
        <v>673724.33</v>
      </c>
      <c r="G995">
        <v>257.24</v>
      </c>
      <c r="H995" s="2"/>
    </row>
    <row r="996" spans="1:8" hidden="1" x14ac:dyDescent="0.25">
      <c r="A996">
        <v>2022</v>
      </c>
      <c r="B996" t="s">
        <v>28</v>
      </c>
      <c r="C996">
        <v>2023</v>
      </c>
      <c r="D996">
        <v>49.94</v>
      </c>
      <c r="E996">
        <v>7</v>
      </c>
      <c r="F996">
        <v>700206.15</v>
      </c>
      <c r="G996">
        <v>258.91000000000003</v>
      </c>
      <c r="H996" s="2"/>
    </row>
    <row r="997" spans="1:8" hidden="1" x14ac:dyDescent="0.25">
      <c r="A997">
        <v>2022</v>
      </c>
      <c r="B997" t="s">
        <v>28</v>
      </c>
      <c r="C997">
        <v>2024</v>
      </c>
      <c r="D997">
        <v>145.78</v>
      </c>
      <c r="E997">
        <v>8</v>
      </c>
      <c r="F997">
        <v>687225.23</v>
      </c>
      <c r="G997">
        <v>258.44</v>
      </c>
      <c r="H997" s="2"/>
    </row>
    <row r="998" spans="1:8" hidden="1" x14ac:dyDescent="0.25">
      <c r="A998">
        <v>2022</v>
      </c>
      <c r="B998" t="s">
        <v>29</v>
      </c>
      <c r="C998">
        <v>2019</v>
      </c>
      <c r="D998">
        <v>47.05</v>
      </c>
      <c r="E998">
        <v>6</v>
      </c>
      <c r="F998">
        <v>867487.77</v>
      </c>
      <c r="G998">
        <v>332.63</v>
      </c>
      <c r="H998" s="2">
        <f t="shared" ref="H998" si="164">SUM(E998:E1003)</f>
        <v>69</v>
      </c>
    </row>
    <row r="999" spans="1:8" hidden="1" x14ac:dyDescent="0.25">
      <c r="A999">
        <v>2022</v>
      </c>
      <c r="B999" t="s">
        <v>29</v>
      </c>
      <c r="C999">
        <v>2020</v>
      </c>
      <c r="D999">
        <v>211.27</v>
      </c>
      <c r="E999">
        <v>11</v>
      </c>
      <c r="F999">
        <v>833364.98</v>
      </c>
      <c r="G999">
        <v>329.94</v>
      </c>
      <c r="H999" s="2"/>
    </row>
    <row r="1000" spans="1:8" hidden="1" x14ac:dyDescent="0.25">
      <c r="A1000">
        <v>2022</v>
      </c>
      <c r="B1000" t="s">
        <v>29</v>
      </c>
      <c r="C1000">
        <v>2021</v>
      </c>
      <c r="D1000">
        <v>637.86</v>
      </c>
      <c r="E1000">
        <v>14</v>
      </c>
      <c r="F1000">
        <v>825840.96</v>
      </c>
      <c r="G1000">
        <v>329.34</v>
      </c>
      <c r="H1000" s="2"/>
    </row>
    <row r="1001" spans="1:8" hidden="1" x14ac:dyDescent="0.25">
      <c r="A1001">
        <v>2022</v>
      </c>
      <c r="B1001" t="s">
        <v>29</v>
      </c>
      <c r="C1001">
        <v>2022</v>
      </c>
      <c r="D1001">
        <v>1410.69</v>
      </c>
      <c r="E1001">
        <v>25</v>
      </c>
      <c r="F1001">
        <v>819225.08</v>
      </c>
      <c r="G1001">
        <v>325.52</v>
      </c>
      <c r="H1001" s="2"/>
    </row>
    <row r="1002" spans="1:8" hidden="1" x14ac:dyDescent="0.25">
      <c r="A1002">
        <v>2022</v>
      </c>
      <c r="B1002" t="s">
        <v>29</v>
      </c>
      <c r="C1002">
        <v>2023</v>
      </c>
      <c r="D1002">
        <v>17.149999999999999</v>
      </c>
      <c r="E1002">
        <v>5</v>
      </c>
      <c r="F1002">
        <v>848209.75</v>
      </c>
      <c r="G1002">
        <v>333.13</v>
      </c>
      <c r="H1002" s="2"/>
    </row>
    <row r="1003" spans="1:8" hidden="1" x14ac:dyDescent="0.25">
      <c r="A1003">
        <v>2022</v>
      </c>
      <c r="B1003" t="s">
        <v>29</v>
      </c>
      <c r="C1003">
        <v>2024</v>
      </c>
      <c r="D1003">
        <v>197.03</v>
      </c>
      <c r="E1003">
        <v>8</v>
      </c>
      <c r="F1003">
        <v>825417.51</v>
      </c>
      <c r="G1003">
        <v>330.93</v>
      </c>
      <c r="H1003" s="2"/>
    </row>
    <row r="1004" spans="1:8" hidden="1" x14ac:dyDescent="0.25">
      <c r="A1004">
        <v>2022</v>
      </c>
      <c r="B1004" t="s">
        <v>30</v>
      </c>
      <c r="C1004">
        <v>2019</v>
      </c>
      <c r="D1004">
        <v>35.44</v>
      </c>
      <c r="E1004">
        <v>6</v>
      </c>
      <c r="F1004">
        <v>735611.76</v>
      </c>
      <c r="G1004">
        <v>265.57</v>
      </c>
      <c r="H1004" s="2">
        <f t="shared" ref="H1004" si="165">SUM(E1004:E1009)</f>
        <v>53</v>
      </c>
    </row>
    <row r="1005" spans="1:8" hidden="1" x14ac:dyDescent="0.25">
      <c r="A1005">
        <v>2022</v>
      </c>
      <c r="B1005" t="s">
        <v>30</v>
      </c>
      <c r="C1005">
        <v>2020</v>
      </c>
      <c r="D1005">
        <v>128.16999999999999</v>
      </c>
      <c r="E1005">
        <v>10</v>
      </c>
      <c r="F1005">
        <v>719181.36</v>
      </c>
      <c r="G1005">
        <v>263.94</v>
      </c>
      <c r="H1005" s="2"/>
    </row>
    <row r="1006" spans="1:8" hidden="1" x14ac:dyDescent="0.25">
      <c r="A1006">
        <v>2022</v>
      </c>
      <c r="B1006" t="s">
        <v>30</v>
      </c>
      <c r="C1006">
        <v>2021</v>
      </c>
      <c r="D1006">
        <v>143.31</v>
      </c>
      <c r="E1006">
        <v>8</v>
      </c>
      <c r="F1006">
        <v>688488.81</v>
      </c>
      <c r="G1006">
        <v>262.22000000000003</v>
      </c>
      <c r="H1006" s="2"/>
    </row>
    <row r="1007" spans="1:8" hidden="1" x14ac:dyDescent="0.25">
      <c r="A1007">
        <v>2022</v>
      </c>
      <c r="B1007" t="s">
        <v>30</v>
      </c>
      <c r="C1007">
        <v>2022</v>
      </c>
      <c r="D1007">
        <v>155.77000000000001</v>
      </c>
      <c r="E1007">
        <v>9</v>
      </c>
      <c r="F1007">
        <v>689006.22</v>
      </c>
      <c r="G1007">
        <v>262.41000000000003</v>
      </c>
      <c r="H1007" s="2"/>
    </row>
    <row r="1008" spans="1:8" hidden="1" x14ac:dyDescent="0.25">
      <c r="A1008">
        <v>2022</v>
      </c>
      <c r="B1008" t="s">
        <v>30</v>
      </c>
      <c r="C1008">
        <v>2023</v>
      </c>
      <c r="D1008">
        <v>50.85</v>
      </c>
      <c r="E1008">
        <v>10</v>
      </c>
      <c r="F1008">
        <v>719160.99</v>
      </c>
      <c r="G1008">
        <v>263.63</v>
      </c>
      <c r="H1008" s="2"/>
    </row>
    <row r="1009" spans="1:8" hidden="1" x14ac:dyDescent="0.25">
      <c r="A1009">
        <v>2022</v>
      </c>
      <c r="B1009" t="s">
        <v>30</v>
      </c>
      <c r="C1009">
        <v>2024</v>
      </c>
      <c r="D1009">
        <v>211.37</v>
      </c>
      <c r="E1009">
        <v>10</v>
      </c>
      <c r="F1009">
        <v>708160.47</v>
      </c>
      <c r="G1009">
        <v>263.23</v>
      </c>
      <c r="H1009" s="2"/>
    </row>
    <row r="1010" spans="1:8" hidden="1" x14ac:dyDescent="0.25">
      <c r="A1010">
        <v>2022</v>
      </c>
      <c r="B1010" t="s">
        <v>31</v>
      </c>
      <c r="C1010">
        <v>2019</v>
      </c>
      <c r="D1010">
        <v>91.81</v>
      </c>
      <c r="E1010">
        <v>2</v>
      </c>
      <c r="F1010">
        <v>1136956.25</v>
      </c>
      <c r="G1010">
        <v>422.51</v>
      </c>
      <c r="H1010" s="2">
        <f t="shared" ref="H1010" si="166">SUM(E1010:E1015)</f>
        <v>76</v>
      </c>
    </row>
    <row r="1011" spans="1:8" hidden="1" x14ac:dyDescent="0.25">
      <c r="A1011">
        <v>2022</v>
      </c>
      <c r="B1011" t="s">
        <v>31</v>
      </c>
      <c r="C1011">
        <v>2020</v>
      </c>
      <c r="D1011">
        <v>309.17</v>
      </c>
      <c r="E1011">
        <v>5</v>
      </c>
      <c r="F1011">
        <v>1023059.36</v>
      </c>
      <c r="G1011">
        <v>413.39</v>
      </c>
      <c r="H1011" s="2"/>
    </row>
    <row r="1012" spans="1:8" hidden="1" x14ac:dyDescent="0.25">
      <c r="A1012">
        <v>2022</v>
      </c>
      <c r="B1012" t="s">
        <v>31</v>
      </c>
      <c r="C1012">
        <v>2021</v>
      </c>
      <c r="D1012">
        <v>1908.1</v>
      </c>
      <c r="E1012">
        <v>34</v>
      </c>
      <c r="F1012">
        <v>1055121</v>
      </c>
      <c r="G1012">
        <v>412.73</v>
      </c>
      <c r="H1012" s="2"/>
    </row>
    <row r="1013" spans="1:8" hidden="1" x14ac:dyDescent="0.25">
      <c r="A1013">
        <v>2022</v>
      </c>
      <c r="B1013" t="s">
        <v>31</v>
      </c>
      <c r="C1013">
        <v>2022</v>
      </c>
      <c r="D1013">
        <v>602.70000000000005</v>
      </c>
      <c r="E1013">
        <v>13</v>
      </c>
      <c r="F1013">
        <v>963704</v>
      </c>
      <c r="G1013">
        <v>413.27</v>
      </c>
      <c r="H1013" s="2"/>
    </row>
    <row r="1014" spans="1:8" hidden="1" x14ac:dyDescent="0.25">
      <c r="A1014">
        <v>2022</v>
      </c>
      <c r="B1014" t="s">
        <v>31</v>
      </c>
      <c r="C1014">
        <v>2023</v>
      </c>
      <c r="D1014">
        <v>635.88</v>
      </c>
      <c r="E1014">
        <v>14</v>
      </c>
      <c r="F1014">
        <v>1059507.78</v>
      </c>
      <c r="G1014">
        <v>419.72</v>
      </c>
      <c r="H1014" s="2"/>
    </row>
    <row r="1015" spans="1:8" hidden="1" x14ac:dyDescent="0.25">
      <c r="A1015">
        <v>2022</v>
      </c>
      <c r="B1015" t="s">
        <v>31</v>
      </c>
      <c r="C1015">
        <v>2024</v>
      </c>
      <c r="D1015">
        <v>504.26</v>
      </c>
      <c r="E1015">
        <v>8</v>
      </c>
      <c r="F1015">
        <v>1071599.6100000001</v>
      </c>
      <c r="G1015">
        <v>414.29</v>
      </c>
      <c r="H1015" s="2"/>
    </row>
    <row r="1016" spans="1:8" hidden="1" x14ac:dyDescent="0.25">
      <c r="A1016">
        <v>2022</v>
      </c>
      <c r="B1016" t="s">
        <v>32</v>
      </c>
      <c r="C1016">
        <v>2019</v>
      </c>
      <c r="D1016">
        <v>880.75</v>
      </c>
      <c r="E1016">
        <v>19</v>
      </c>
      <c r="F1016">
        <v>752863.85</v>
      </c>
      <c r="G1016">
        <v>468.87</v>
      </c>
      <c r="H1016" s="2">
        <f t="shared" ref="H1016" si="167">SUM(E1016:E1021)</f>
        <v>136</v>
      </c>
    </row>
    <row r="1017" spans="1:8" hidden="1" x14ac:dyDescent="0.25">
      <c r="A1017">
        <v>2022</v>
      </c>
      <c r="B1017" t="s">
        <v>32</v>
      </c>
      <c r="C1017">
        <v>2020</v>
      </c>
      <c r="D1017">
        <v>1013.55</v>
      </c>
      <c r="E1017">
        <v>18</v>
      </c>
      <c r="F1017">
        <v>721237.42</v>
      </c>
      <c r="G1017">
        <v>456.97</v>
      </c>
      <c r="H1017" s="2"/>
    </row>
    <row r="1018" spans="1:8" hidden="1" x14ac:dyDescent="0.25">
      <c r="A1018">
        <v>2022</v>
      </c>
      <c r="B1018" t="s">
        <v>32</v>
      </c>
      <c r="C1018">
        <v>2021</v>
      </c>
      <c r="D1018">
        <v>2181.7800000000002</v>
      </c>
      <c r="E1018">
        <v>52</v>
      </c>
      <c r="F1018">
        <v>737137.43</v>
      </c>
      <c r="G1018">
        <v>454.09</v>
      </c>
      <c r="H1018" s="2"/>
    </row>
    <row r="1019" spans="1:8" hidden="1" x14ac:dyDescent="0.25">
      <c r="A1019">
        <v>2022</v>
      </c>
      <c r="B1019" t="s">
        <v>32</v>
      </c>
      <c r="C1019">
        <v>2022</v>
      </c>
      <c r="D1019">
        <v>543.27</v>
      </c>
      <c r="E1019">
        <v>15</v>
      </c>
      <c r="F1019">
        <v>741588.22</v>
      </c>
      <c r="G1019">
        <v>461.56</v>
      </c>
      <c r="H1019" s="2"/>
    </row>
    <row r="1020" spans="1:8" hidden="1" x14ac:dyDescent="0.25">
      <c r="A1020">
        <v>2022</v>
      </c>
      <c r="B1020" t="s">
        <v>32</v>
      </c>
      <c r="C1020">
        <v>2023</v>
      </c>
      <c r="D1020">
        <v>1064.07</v>
      </c>
      <c r="E1020">
        <v>21</v>
      </c>
      <c r="F1020">
        <v>747855.98</v>
      </c>
      <c r="G1020">
        <v>467.05</v>
      </c>
      <c r="H1020" s="2"/>
    </row>
    <row r="1021" spans="1:8" hidden="1" x14ac:dyDescent="0.25">
      <c r="A1021">
        <v>2022</v>
      </c>
      <c r="B1021" t="s">
        <v>32</v>
      </c>
      <c r="C1021">
        <v>2024</v>
      </c>
      <c r="D1021">
        <v>606.89</v>
      </c>
      <c r="E1021">
        <v>11</v>
      </c>
      <c r="F1021">
        <v>747844.37</v>
      </c>
      <c r="G1021">
        <v>464.33</v>
      </c>
      <c r="H1021" s="2"/>
    </row>
    <row r="1022" spans="1:8" hidden="1" x14ac:dyDescent="0.25">
      <c r="A1022">
        <v>2022</v>
      </c>
      <c r="B1022" t="s">
        <v>33</v>
      </c>
      <c r="C1022">
        <v>2019</v>
      </c>
      <c r="D1022">
        <v>170.74</v>
      </c>
      <c r="E1022">
        <v>4</v>
      </c>
      <c r="F1022">
        <v>985496</v>
      </c>
      <c r="G1022">
        <v>368</v>
      </c>
      <c r="H1022" s="2">
        <f t="shared" ref="H1022" si="168">SUM(E1022:E1027)</f>
        <v>68</v>
      </c>
    </row>
    <row r="1023" spans="1:8" hidden="1" x14ac:dyDescent="0.25">
      <c r="A1023">
        <v>2022</v>
      </c>
      <c r="B1023" t="s">
        <v>33</v>
      </c>
      <c r="C1023">
        <v>2020</v>
      </c>
      <c r="D1023">
        <v>378.31</v>
      </c>
      <c r="E1023">
        <v>8</v>
      </c>
      <c r="F1023">
        <v>951559.49</v>
      </c>
      <c r="G1023">
        <v>364.69</v>
      </c>
      <c r="H1023" s="2"/>
    </row>
    <row r="1024" spans="1:8" hidden="1" x14ac:dyDescent="0.25">
      <c r="A1024">
        <v>2022</v>
      </c>
      <c r="B1024" t="s">
        <v>33</v>
      </c>
      <c r="C1024">
        <v>2021</v>
      </c>
      <c r="D1024">
        <v>455.24</v>
      </c>
      <c r="E1024">
        <v>11</v>
      </c>
      <c r="F1024">
        <v>976074.08</v>
      </c>
      <c r="G1024">
        <v>366.32</v>
      </c>
      <c r="H1024" s="2"/>
    </row>
    <row r="1025" spans="1:8" hidden="1" x14ac:dyDescent="0.25">
      <c r="A1025">
        <v>2022</v>
      </c>
      <c r="B1025" t="s">
        <v>33</v>
      </c>
      <c r="C1025">
        <v>2022</v>
      </c>
      <c r="D1025">
        <v>336.78</v>
      </c>
      <c r="E1025">
        <v>9</v>
      </c>
      <c r="F1025">
        <v>957307.69</v>
      </c>
      <c r="G1025">
        <v>364.04</v>
      </c>
      <c r="H1025" s="2"/>
    </row>
    <row r="1026" spans="1:8" hidden="1" x14ac:dyDescent="0.25">
      <c r="A1026">
        <v>2022</v>
      </c>
      <c r="B1026" t="s">
        <v>33</v>
      </c>
      <c r="C1026">
        <v>2023</v>
      </c>
      <c r="D1026">
        <v>290.70999999999998</v>
      </c>
      <c r="E1026">
        <v>6</v>
      </c>
      <c r="F1026">
        <v>981689.72</v>
      </c>
      <c r="G1026">
        <v>371.18</v>
      </c>
      <c r="H1026" s="2"/>
    </row>
    <row r="1027" spans="1:8" hidden="1" x14ac:dyDescent="0.25">
      <c r="A1027">
        <v>2022</v>
      </c>
      <c r="B1027" t="s">
        <v>33</v>
      </c>
      <c r="C1027">
        <v>2024</v>
      </c>
      <c r="D1027">
        <v>1447.3</v>
      </c>
      <c r="E1027">
        <v>30</v>
      </c>
      <c r="F1027">
        <v>974747.27</v>
      </c>
      <c r="G1027">
        <v>363.94</v>
      </c>
      <c r="H1027" s="2"/>
    </row>
    <row r="1028" spans="1:8" hidden="1" x14ac:dyDescent="0.25">
      <c r="A1028">
        <v>2022</v>
      </c>
      <c r="B1028" t="s">
        <v>34</v>
      </c>
      <c r="C1028">
        <v>2019</v>
      </c>
      <c r="D1028">
        <v>40.909999999999997</v>
      </c>
      <c r="E1028">
        <v>1</v>
      </c>
      <c r="F1028">
        <v>914490.26</v>
      </c>
      <c r="G1028">
        <v>431.64</v>
      </c>
      <c r="H1028" s="2">
        <f t="shared" ref="H1028" si="169">SUM(E1028:E1033)</f>
        <v>90</v>
      </c>
    </row>
    <row r="1029" spans="1:8" hidden="1" x14ac:dyDescent="0.25">
      <c r="A1029">
        <v>2022</v>
      </c>
      <c r="B1029" t="s">
        <v>34</v>
      </c>
      <c r="C1029">
        <v>2020</v>
      </c>
      <c r="D1029">
        <v>1174.0999999999999</v>
      </c>
      <c r="E1029">
        <v>20</v>
      </c>
      <c r="F1029">
        <v>843949.62</v>
      </c>
      <c r="G1029">
        <v>418.2</v>
      </c>
      <c r="H1029" s="2"/>
    </row>
    <row r="1030" spans="1:8" hidden="1" x14ac:dyDescent="0.25">
      <c r="A1030">
        <v>2022</v>
      </c>
      <c r="B1030" t="s">
        <v>34</v>
      </c>
      <c r="C1030">
        <v>2021</v>
      </c>
      <c r="D1030">
        <v>2223.3000000000002</v>
      </c>
      <c r="E1030">
        <v>44</v>
      </c>
      <c r="F1030">
        <v>870493.85</v>
      </c>
      <c r="G1030">
        <v>419.83</v>
      </c>
      <c r="H1030" s="2"/>
    </row>
    <row r="1031" spans="1:8" hidden="1" x14ac:dyDescent="0.25">
      <c r="A1031">
        <v>2022</v>
      </c>
      <c r="B1031" t="s">
        <v>34</v>
      </c>
      <c r="C1031">
        <v>2022</v>
      </c>
      <c r="D1031">
        <v>977.08</v>
      </c>
      <c r="E1031">
        <v>14</v>
      </c>
      <c r="F1031">
        <v>818780.65</v>
      </c>
      <c r="G1031">
        <v>419.48</v>
      </c>
      <c r="H1031" s="2"/>
    </row>
    <row r="1032" spans="1:8" hidden="1" x14ac:dyDescent="0.25">
      <c r="A1032">
        <v>2022</v>
      </c>
      <c r="B1032" t="s">
        <v>34</v>
      </c>
      <c r="C1032">
        <v>2023</v>
      </c>
      <c r="D1032">
        <v>382.49</v>
      </c>
      <c r="E1032">
        <v>10</v>
      </c>
      <c r="F1032">
        <v>875252.94</v>
      </c>
      <c r="G1032">
        <v>429.49</v>
      </c>
      <c r="H1032" s="2"/>
    </row>
    <row r="1033" spans="1:8" hidden="1" x14ac:dyDescent="0.25">
      <c r="A1033">
        <v>2022</v>
      </c>
      <c r="B1033" t="s">
        <v>34</v>
      </c>
      <c r="C1033">
        <v>2024</v>
      </c>
      <c r="D1033">
        <v>30.31</v>
      </c>
      <c r="E1033">
        <v>1</v>
      </c>
      <c r="F1033">
        <v>870620.94</v>
      </c>
      <c r="G1033">
        <v>426.83</v>
      </c>
      <c r="H1033" s="2"/>
    </row>
    <row r="1034" spans="1:8" hidden="1" x14ac:dyDescent="0.25">
      <c r="A1034">
        <v>2022</v>
      </c>
      <c r="B1034" t="s">
        <v>35</v>
      </c>
      <c r="C1034">
        <v>2019</v>
      </c>
      <c r="D1034">
        <v>40.24</v>
      </c>
      <c r="E1034">
        <v>1</v>
      </c>
      <c r="F1034">
        <v>873430.8</v>
      </c>
      <c r="G1034">
        <v>370.26</v>
      </c>
      <c r="H1034" s="2">
        <f t="shared" ref="H1034" si="170">SUM(E1034:E1039)</f>
        <v>119</v>
      </c>
    </row>
    <row r="1035" spans="1:8" hidden="1" x14ac:dyDescent="0.25">
      <c r="A1035">
        <v>2022</v>
      </c>
      <c r="B1035" t="s">
        <v>35</v>
      </c>
      <c r="C1035">
        <v>2020</v>
      </c>
      <c r="D1035">
        <v>1367.5</v>
      </c>
      <c r="E1035">
        <v>28</v>
      </c>
      <c r="F1035">
        <v>827593.98</v>
      </c>
      <c r="G1035">
        <v>358.7</v>
      </c>
      <c r="H1035" s="2"/>
    </row>
    <row r="1036" spans="1:8" hidden="1" x14ac:dyDescent="0.25">
      <c r="A1036">
        <v>2022</v>
      </c>
      <c r="B1036" t="s">
        <v>35</v>
      </c>
      <c r="C1036">
        <v>2021</v>
      </c>
      <c r="D1036">
        <v>2072.67</v>
      </c>
      <c r="E1036">
        <v>47</v>
      </c>
      <c r="F1036">
        <v>855988.87</v>
      </c>
      <c r="G1036">
        <v>358.98</v>
      </c>
      <c r="H1036" s="2"/>
    </row>
    <row r="1037" spans="1:8" hidden="1" x14ac:dyDescent="0.25">
      <c r="A1037">
        <v>2022</v>
      </c>
      <c r="B1037" t="s">
        <v>35</v>
      </c>
      <c r="C1037">
        <v>2022</v>
      </c>
      <c r="D1037">
        <v>94.21</v>
      </c>
      <c r="E1037">
        <v>4</v>
      </c>
      <c r="F1037">
        <v>843938.73</v>
      </c>
      <c r="G1037">
        <v>363.33</v>
      </c>
      <c r="H1037" s="2"/>
    </row>
    <row r="1038" spans="1:8" hidden="1" x14ac:dyDescent="0.25">
      <c r="A1038">
        <v>2022</v>
      </c>
      <c r="B1038" t="s">
        <v>35</v>
      </c>
      <c r="C1038">
        <v>2023</v>
      </c>
      <c r="D1038">
        <v>524.09</v>
      </c>
      <c r="E1038">
        <v>9</v>
      </c>
      <c r="F1038">
        <v>862420.93</v>
      </c>
      <c r="G1038">
        <v>369.18</v>
      </c>
      <c r="H1038" s="2"/>
    </row>
    <row r="1039" spans="1:8" hidden="1" x14ac:dyDescent="0.25">
      <c r="A1039">
        <v>2022</v>
      </c>
      <c r="B1039" t="s">
        <v>35</v>
      </c>
      <c r="C1039">
        <v>2024</v>
      </c>
      <c r="D1039">
        <v>1330.95</v>
      </c>
      <c r="E1039">
        <v>30</v>
      </c>
      <c r="F1039">
        <v>859430.73</v>
      </c>
      <c r="G1039">
        <v>364.9</v>
      </c>
      <c r="H1039" s="2"/>
    </row>
    <row r="1040" spans="1:8" hidden="1" x14ac:dyDescent="0.25">
      <c r="A1040">
        <v>2022</v>
      </c>
      <c r="B1040" t="s">
        <v>22</v>
      </c>
      <c r="C1040">
        <v>2019</v>
      </c>
      <c r="D1040">
        <v>139.49</v>
      </c>
      <c r="E1040">
        <v>2</v>
      </c>
      <c r="F1040">
        <v>775936.98</v>
      </c>
      <c r="G1040">
        <v>520.05999999999995</v>
      </c>
      <c r="H1040" s="2">
        <f t="shared" ref="H1040" si="171">SUM(E1040:E1045)</f>
        <v>114</v>
      </c>
    </row>
    <row r="1041" spans="1:8" hidden="1" x14ac:dyDescent="0.25">
      <c r="A1041">
        <v>2022</v>
      </c>
      <c r="B1041" t="s">
        <v>22</v>
      </c>
      <c r="C1041">
        <v>2020</v>
      </c>
      <c r="D1041">
        <v>1046.8599999999999</v>
      </c>
      <c r="E1041">
        <v>25</v>
      </c>
      <c r="F1041">
        <v>716068.22</v>
      </c>
      <c r="G1041">
        <v>500.37</v>
      </c>
      <c r="H1041" s="2"/>
    </row>
    <row r="1042" spans="1:8" hidden="1" x14ac:dyDescent="0.25">
      <c r="A1042">
        <v>2022</v>
      </c>
      <c r="B1042" t="s">
        <v>22</v>
      </c>
      <c r="C1042">
        <v>2021</v>
      </c>
      <c r="D1042">
        <v>2178.19</v>
      </c>
      <c r="E1042">
        <v>41</v>
      </c>
      <c r="F1042">
        <v>745921.23</v>
      </c>
      <c r="G1042">
        <v>497.71</v>
      </c>
      <c r="H1042" s="2"/>
    </row>
    <row r="1043" spans="1:8" hidden="1" x14ac:dyDescent="0.25">
      <c r="A1043">
        <v>2022</v>
      </c>
      <c r="B1043" t="s">
        <v>22</v>
      </c>
      <c r="C1043">
        <v>2022</v>
      </c>
      <c r="D1043">
        <v>1064.5899999999999</v>
      </c>
      <c r="E1043">
        <v>19</v>
      </c>
      <c r="F1043">
        <v>707186.48</v>
      </c>
      <c r="G1043">
        <v>498.05</v>
      </c>
      <c r="H1043" s="2"/>
    </row>
    <row r="1044" spans="1:8" hidden="1" x14ac:dyDescent="0.25">
      <c r="A1044">
        <v>2022</v>
      </c>
      <c r="B1044" t="s">
        <v>22</v>
      </c>
      <c r="C1044">
        <v>2023</v>
      </c>
      <c r="D1044">
        <v>662.65</v>
      </c>
      <c r="E1044">
        <v>16</v>
      </c>
      <c r="F1044">
        <v>754850.82</v>
      </c>
      <c r="G1044">
        <v>512.71</v>
      </c>
      <c r="H1044" s="2"/>
    </row>
    <row r="1045" spans="1:8" hidden="1" x14ac:dyDescent="0.25">
      <c r="A1045">
        <v>2022</v>
      </c>
      <c r="B1045" t="s">
        <v>22</v>
      </c>
      <c r="C1045">
        <v>2024</v>
      </c>
      <c r="D1045">
        <v>456.32</v>
      </c>
      <c r="E1045">
        <v>11</v>
      </c>
      <c r="F1045">
        <v>755934.79</v>
      </c>
      <c r="G1045">
        <v>513.33000000000004</v>
      </c>
      <c r="H1045" s="2"/>
    </row>
    <row r="1046" spans="1:8" hidden="1" x14ac:dyDescent="0.25">
      <c r="A1046">
        <v>2022</v>
      </c>
      <c r="B1046" t="s">
        <v>36</v>
      </c>
      <c r="C1046">
        <v>2019</v>
      </c>
      <c r="D1046">
        <v>35.47</v>
      </c>
      <c r="E1046">
        <v>1</v>
      </c>
      <c r="F1046">
        <v>1135623.07</v>
      </c>
      <c r="G1046">
        <v>451.62</v>
      </c>
      <c r="H1046" s="2">
        <f t="shared" ref="H1046" si="172">SUM(E1046:E1051)</f>
        <v>63</v>
      </c>
    </row>
    <row r="1047" spans="1:8" hidden="1" x14ac:dyDescent="0.25">
      <c r="A1047">
        <v>2022</v>
      </c>
      <c r="B1047" t="s">
        <v>36</v>
      </c>
      <c r="C1047">
        <v>2020</v>
      </c>
      <c r="D1047">
        <v>507.2</v>
      </c>
      <c r="E1047">
        <v>10</v>
      </c>
      <c r="F1047">
        <v>1034487.13</v>
      </c>
      <c r="G1047">
        <v>439.76</v>
      </c>
      <c r="H1047" s="2"/>
    </row>
    <row r="1048" spans="1:8" hidden="1" x14ac:dyDescent="0.25">
      <c r="A1048">
        <v>2022</v>
      </c>
      <c r="B1048" t="s">
        <v>36</v>
      </c>
      <c r="C1048">
        <v>2021</v>
      </c>
      <c r="D1048">
        <v>1443.8</v>
      </c>
      <c r="E1048">
        <v>32</v>
      </c>
      <c r="F1048">
        <v>1077692.2</v>
      </c>
      <c r="G1048">
        <v>440.43</v>
      </c>
      <c r="H1048" s="2"/>
    </row>
    <row r="1049" spans="1:8" hidden="1" x14ac:dyDescent="0.25">
      <c r="A1049">
        <v>2022</v>
      </c>
      <c r="B1049" t="s">
        <v>36</v>
      </c>
      <c r="C1049">
        <v>2022</v>
      </c>
      <c r="D1049">
        <v>164.14</v>
      </c>
      <c r="E1049">
        <v>4</v>
      </c>
      <c r="F1049">
        <v>1007062.02</v>
      </c>
      <c r="G1049">
        <v>442.37</v>
      </c>
      <c r="H1049" s="2"/>
    </row>
    <row r="1050" spans="1:8" hidden="1" x14ac:dyDescent="0.25">
      <c r="A1050">
        <v>2022</v>
      </c>
      <c r="B1050" t="s">
        <v>36</v>
      </c>
      <c r="C1050">
        <v>2023</v>
      </c>
      <c r="D1050">
        <v>574.85</v>
      </c>
      <c r="E1050">
        <v>14</v>
      </c>
      <c r="F1050">
        <v>1090619.5900000001</v>
      </c>
      <c r="G1050">
        <v>447.29</v>
      </c>
      <c r="H1050" s="2"/>
    </row>
    <row r="1051" spans="1:8" hidden="1" x14ac:dyDescent="0.25">
      <c r="A1051">
        <v>2022</v>
      </c>
      <c r="B1051" t="s">
        <v>36</v>
      </c>
      <c r="C1051">
        <v>2024</v>
      </c>
      <c r="D1051">
        <v>103.56</v>
      </c>
      <c r="E1051">
        <v>2</v>
      </c>
      <c r="F1051">
        <v>1100019.8</v>
      </c>
      <c r="G1051">
        <v>445.74</v>
      </c>
      <c r="H1051" s="2"/>
    </row>
    <row r="1052" spans="1:8" hidden="1" x14ac:dyDescent="0.25">
      <c r="A1052">
        <v>2022</v>
      </c>
      <c r="B1052" t="s">
        <v>37</v>
      </c>
      <c r="C1052">
        <v>2019</v>
      </c>
      <c r="D1052">
        <v>49.65</v>
      </c>
      <c r="E1052">
        <v>1</v>
      </c>
      <c r="F1052">
        <v>826580.54</v>
      </c>
      <c r="G1052">
        <v>488.82</v>
      </c>
      <c r="H1052" s="2">
        <f t="shared" ref="H1052" si="173">SUM(E1052:E1057)</f>
        <v>169</v>
      </c>
    </row>
    <row r="1053" spans="1:8" hidden="1" x14ac:dyDescent="0.25">
      <c r="A1053">
        <v>2022</v>
      </c>
      <c r="B1053" t="s">
        <v>37</v>
      </c>
      <c r="C1053">
        <v>2020</v>
      </c>
      <c r="D1053">
        <v>1835.86</v>
      </c>
      <c r="E1053">
        <v>40</v>
      </c>
      <c r="F1053">
        <v>751450.39</v>
      </c>
      <c r="G1053">
        <v>465.22</v>
      </c>
      <c r="H1053" s="2"/>
    </row>
    <row r="1054" spans="1:8" hidden="1" x14ac:dyDescent="0.25">
      <c r="A1054">
        <v>2022</v>
      </c>
      <c r="B1054" t="s">
        <v>37</v>
      </c>
      <c r="C1054">
        <v>2021</v>
      </c>
      <c r="D1054">
        <v>3265.84</v>
      </c>
      <c r="E1054">
        <v>57</v>
      </c>
      <c r="F1054">
        <v>774892.86</v>
      </c>
      <c r="G1054">
        <v>467.4</v>
      </c>
      <c r="H1054" s="2"/>
    </row>
    <row r="1055" spans="1:8" hidden="1" x14ac:dyDescent="0.25">
      <c r="A1055">
        <v>2022</v>
      </c>
      <c r="B1055" t="s">
        <v>37</v>
      </c>
      <c r="C1055">
        <v>2022</v>
      </c>
      <c r="D1055">
        <v>1442.48</v>
      </c>
      <c r="E1055">
        <v>30</v>
      </c>
      <c r="F1055">
        <v>717637.74</v>
      </c>
      <c r="G1055">
        <v>469.63</v>
      </c>
      <c r="H1055" s="2"/>
    </row>
    <row r="1056" spans="1:8" hidden="1" x14ac:dyDescent="0.25">
      <c r="A1056">
        <v>2022</v>
      </c>
      <c r="B1056" t="s">
        <v>37</v>
      </c>
      <c r="C1056">
        <v>2023</v>
      </c>
      <c r="D1056">
        <v>678.29</v>
      </c>
      <c r="E1056">
        <v>15</v>
      </c>
      <c r="F1056">
        <v>789795.34</v>
      </c>
      <c r="G1056">
        <v>482.69</v>
      </c>
      <c r="H1056" s="2"/>
    </row>
    <row r="1057" spans="1:9" hidden="1" x14ac:dyDescent="0.25">
      <c r="A1057">
        <v>2022</v>
      </c>
      <c r="B1057" t="s">
        <v>37</v>
      </c>
      <c r="C1057">
        <v>2024</v>
      </c>
      <c r="D1057">
        <v>1313.8</v>
      </c>
      <c r="E1057">
        <v>26</v>
      </c>
      <c r="F1057">
        <v>788017.23</v>
      </c>
      <c r="G1057">
        <v>463.98</v>
      </c>
      <c r="H1057" s="2"/>
    </row>
    <row r="1058" spans="1:9" x14ac:dyDescent="0.25">
      <c r="A1058">
        <v>2022</v>
      </c>
      <c r="B1058" t="s">
        <v>38</v>
      </c>
      <c r="C1058">
        <v>2019</v>
      </c>
      <c r="D1058">
        <v>78.819999999999993</v>
      </c>
      <c r="E1058">
        <v>1</v>
      </c>
      <c r="F1058">
        <v>794405.51</v>
      </c>
      <c r="G1058">
        <v>556.91999999999996</v>
      </c>
      <c r="H1058" s="2">
        <f t="shared" ref="H1058" si="174">SUM(E1058:E1063)</f>
        <v>132</v>
      </c>
      <c r="I1058" s="1">
        <v>2022</v>
      </c>
    </row>
    <row r="1059" spans="1:9" x14ac:dyDescent="0.25">
      <c r="A1059">
        <v>2022</v>
      </c>
      <c r="B1059" t="s">
        <v>38</v>
      </c>
      <c r="C1059">
        <v>2020</v>
      </c>
      <c r="D1059">
        <v>1692.59</v>
      </c>
      <c r="E1059">
        <v>32</v>
      </c>
      <c r="F1059">
        <v>731617.53</v>
      </c>
      <c r="G1059">
        <v>534.35</v>
      </c>
      <c r="H1059" s="2"/>
      <c r="I1059" s="1"/>
    </row>
    <row r="1060" spans="1:9" x14ac:dyDescent="0.25">
      <c r="A1060">
        <v>2022</v>
      </c>
      <c r="B1060" t="s">
        <v>38</v>
      </c>
      <c r="C1060">
        <v>2021</v>
      </c>
      <c r="D1060">
        <v>2252.61</v>
      </c>
      <c r="E1060">
        <v>52</v>
      </c>
      <c r="F1060">
        <v>765479.45</v>
      </c>
      <c r="G1060">
        <v>529.48</v>
      </c>
      <c r="H1060" s="2"/>
      <c r="I1060" s="1"/>
    </row>
    <row r="1061" spans="1:9" x14ac:dyDescent="0.25">
      <c r="A1061">
        <v>2022</v>
      </c>
      <c r="B1061" t="s">
        <v>38</v>
      </c>
      <c r="C1061">
        <v>2022</v>
      </c>
      <c r="D1061">
        <v>360.25</v>
      </c>
      <c r="E1061">
        <v>7</v>
      </c>
      <c r="F1061">
        <v>735731.28</v>
      </c>
      <c r="G1061">
        <v>539.71</v>
      </c>
      <c r="H1061" s="2"/>
      <c r="I1061" s="1"/>
    </row>
    <row r="1062" spans="1:9" x14ac:dyDescent="0.25">
      <c r="A1062">
        <v>2022</v>
      </c>
      <c r="B1062" t="s">
        <v>38</v>
      </c>
      <c r="C1062">
        <v>2023</v>
      </c>
      <c r="D1062">
        <v>1338.7</v>
      </c>
      <c r="E1062">
        <v>28</v>
      </c>
      <c r="F1062">
        <v>779106.22</v>
      </c>
      <c r="G1062">
        <v>548.45000000000005</v>
      </c>
      <c r="H1062" s="2"/>
      <c r="I1062" s="1"/>
    </row>
    <row r="1063" spans="1:9" x14ac:dyDescent="0.25">
      <c r="A1063">
        <v>2022</v>
      </c>
      <c r="B1063" t="s">
        <v>38</v>
      </c>
      <c r="C1063">
        <v>2024</v>
      </c>
      <c r="D1063">
        <v>509.6</v>
      </c>
      <c r="E1063">
        <v>12</v>
      </c>
      <c r="F1063">
        <v>787346.37</v>
      </c>
      <c r="G1063">
        <v>550.45000000000005</v>
      </c>
      <c r="H1063" s="2"/>
      <c r="I1063" s="1"/>
    </row>
    <row r="1064" spans="1:9" hidden="1" x14ac:dyDescent="0.25">
      <c r="A1064">
        <v>2022</v>
      </c>
      <c r="B1064" t="s">
        <v>39</v>
      </c>
      <c r="C1064">
        <v>2019</v>
      </c>
      <c r="D1064">
        <v>170.74</v>
      </c>
      <c r="E1064">
        <v>4</v>
      </c>
      <c r="F1064">
        <v>985496</v>
      </c>
      <c r="G1064">
        <v>368</v>
      </c>
      <c r="H1064" s="2">
        <f t="shared" ref="H1064" si="175">SUM(E1064:E1069)</f>
        <v>68</v>
      </c>
    </row>
    <row r="1065" spans="1:9" hidden="1" x14ac:dyDescent="0.25">
      <c r="A1065">
        <v>2022</v>
      </c>
      <c r="B1065" t="s">
        <v>39</v>
      </c>
      <c r="C1065">
        <v>2020</v>
      </c>
      <c r="D1065">
        <v>378.31</v>
      </c>
      <c r="E1065">
        <v>8</v>
      </c>
      <c r="F1065">
        <v>951559.49</v>
      </c>
      <c r="G1065">
        <v>364.69</v>
      </c>
      <c r="H1065" s="2"/>
    </row>
    <row r="1066" spans="1:9" hidden="1" x14ac:dyDescent="0.25">
      <c r="A1066">
        <v>2022</v>
      </c>
      <c r="B1066" t="s">
        <v>39</v>
      </c>
      <c r="C1066">
        <v>2021</v>
      </c>
      <c r="D1066">
        <v>455.24</v>
      </c>
      <c r="E1066">
        <v>11</v>
      </c>
      <c r="F1066">
        <v>976074.08</v>
      </c>
      <c r="G1066">
        <v>366.32</v>
      </c>
      <c r="H1066" s="2"/>
    </row>
    <row r="1067" spans="1:9" hidden="1" x14ac:dyDescent="0.25">
      <c r="A1067">
        <v>2022</v>
      </c>
      <c r="B1067" t="s">
        <v>39</v>
      </c>
      <c r="C1067">
        <v>2022</v>
      </c>
      <c r="D1067">
        <v>336.78</v>
      </c>
      <c r="E1067">
        <v>9</v>
      </c>
      <c r="F1067">
        <v>957307.69</v>
      </c>
      <c r="G1067">
        <v>364.04</v>
      </c>
      <c r="H1067" s="2"/>
    </row>
    <row r="1068" spans="1:9" hidden="1" x14ac:dyDescent="0.25">
      <c r="A1068">
        <v>2022</v>
      </c>
      <c r="B1068" t="s">
        <v>39</v>
      </c>
      <c r="C1068">
        <v>2023</v>
      </c>
      <c r="D1068">
        <v>290.70999999999998</v>
      </c>
      <c r="E1068">
        <v>6</v>
      </c>
      <c r="F1068">
        <v>981689.72</v>
      </c>
      <c r="G1068">
        <v>371.18</v>
      </c>
      <c r="H1068" s="2"/>
    </row>
    <row r="1069" spans="1:9" hidden="1" x14ac:dyDescent="0.25">
      <c r="A1069">
        <v>2022</v>
      </c>
      <c r="B1069" t="s">
        <v>39</v>
      </c>
      <c r="C1069">
        <v>2024</v>
      </c>
      <c r="D1069">
        <v>1447.3</v>
      </c>
      <c r="E1069">
        <v>30</v>
      </c>
      <c r="F1069">
        <v>974747.27</v>
      </c>
      <c r="G1069">
        <v>363.94</v>
      </c>
      <c r="H1069" s="2"/>
    </row>
    <row r="1070" spans="1:9" hidden="1" x14ac:dyDescent="0.25">
      <c r="A1070">
        <v>2022</v>
      </c>
      <c r="B1070" t="s">
        <v>40</v>
      </c>
      <c r="C1070">
        <v>2019</v>
      </c>
      <c r="D1070">
        <v>209.77</v>
      </c>
      <c r="E1070">
        <v>8</v>
      </c>
      <c r="F1070">
        <v>914394.08</v>
      </c>
      <c r="G1070">
        <v>379.67</v>
      </c>
      <c r="H1070" s="2">
        <f t="shared" ref="H1070" si="176">SUM(E1070:E1075)</f>
        <v>62</v>
      </c>
    </row>
    <row r="1071" spans="1:9" hidden="1" x14ac:dyDescent="0.25">
      <c r="A1071">
        <v>2022</v>
      </c>
      <c r="B1071" t="s">
        <v>40</v>
      </c>
      <c r="C1071">
        <v>2020</v>
      </c>
      <c r="D1071">
        <v>512.30999999999995</v>
      </c>
      <c r="E1071">
        <v>10</v>
      </c>
      <c r="F1071">
        <v>890557.68</v>
      </c>
      <c r="G1071">
        <v>376.6</v>
      </c>
      <c r="H1071" s="2"/>
    </row>
    <row r="1072" spans="1:9" hidden="1" x14ac:dyDescent="0.25">
      <c r="A1072">
        <v>2022</v>
      </c>
      <c r="B1072" t="s">
        <v>40</v>
      </c>
      <c r="C1072">
        <v>2021</v>
      </c>
      <c r="D1072">
        <v>610.44000000000005</v>
      </c>
      <c r="E1072">
        <v>18</v>
      </c>
      <c r="F1072">
        <v>914510</v>
      </c>
      <c r="G1072">
        <v>376.89</v>
      </c>
      <c r="H1072" s="2"/>
    </row>
    <row r="1073" spans="1:8" hidden="1" x14ac:dyDescent="0.25">
      <c r="A1073">
        <v>2022</v>
      </c>
      <c r="B1073" t="s">
        <v>40</v>
      </c>
      <c r="C1073">
        <v>2022</v>
      </c>
      <c r="D1073">
        <v>173.16</v>
      </c>
      <c r="E1073">
        <v>7</v>
      </c>
      <c r="F1073">
        <v>884511.86</v>
      </c>
      <c r="G1073">
        <v>373.98</v>
      </c>
      <c r="H1073" s="2"/>
    </row>
    <row r="1074" spans="1:8" hidden="1" x14ac:dyDescent="0.25">
      <c r="A1074">
        <v>2022</v>
      </c>
      <c r="B1074" t="s">
        <v>40</v>
      </c>
      <c r="C1074">
        <v>2023</v>
      </c>
      <c r="D1074">
        <v>566.38</v>
      </c>
      <c r="E1074">
        <v>15</v>
      </c>
      <c r="F1074">
        <v>921285.88</v>
      </c>
      <c r="G1074">
        <v>377.93</v>
      </c>
      <c r="H1074" s="2"/>
    </row>
    <row r="1075" spans="1:8" hidden="1" x14ac:dyDescent="0.25">
      <c r="A1075">
        <v>2022</v>
      </c>
      <c r="B1075" t="s">
        <v>40</v>
      </c>
      <c r="C1075">
        <v>2024</v>
      </c>
      <c r="D1075">
        <v>132.38</v>
      </c>
      <c r="E1075">
        <v>4</v>
      </c>
      <c r="F1075">
        <v>896664.01</v>
      </c>
      <c r="G1075">
        <v>379.86</v>
      </c>
      <c r="H1075" s="2"/>
    </row>
    <row r="1076" spans="1:8" hidden="1" x14ac:dyDescent="0.25">
      <c r="A1076">
        <v>2022</v>
      </c>
      <c r="B1076" t="s">
        <v>41</v>
      </c>
      <c r="C1076">
        <v>2019</v>
      </c>
      <c r="D1076">
        <v>221.97</v>
      </c>
      <c r="E1076">
        <v>7</v>
      </c>
      <c r="F1076">
        <v>541163.56000000006</v>
      </c>
      <c r="G1076">
        <v>497.87</v>
      </c>
      <c r="H1076" s="2">
        <f t="shared" ref="H1076" si="177">SUM(E1076:E1081)</f>
        <v>83</v>
      </c>
    </row>
    <row r="1077" spans="1:8" hidden="1" x14ac:dyDescent="0.25">
      <c r="A1077">
        <v>2022</v>
      </c>
      <c r="B1077" t="s">
        <v>41</v>
      </c>
      <c r="C1077">
        <v>2020</v>
      </c>
      <c r="D1077">
        <v>541.17999999999995</v>
      </c>
      <c r="E1077">
        <v>10</v>
      </c>
      <c r="F1077">
        <v>523482.24</v>
      </c>
      <c r="G1077">
        <v>484.83</v>
      </c>
      <c r="H1077" s="2"/>
    </row>
    <row r="1078" spans="1:8" hidden="1" x14ac:dyDescent="0.25">
      <c r="A1078">
        <v>2022</v>
      </c>
      <c r="B1078" t="s">
        <v>41</v>
      </c>
      <c r="C1078">
        <v>2021</v>
      </c>
      <c r="D1078">
        <v>57.3</v>
      </c>
      <c r="E1078">
        <v>2</v>
      </c>
      <c r="F1078">
        <v>528853.6</v>
      </c>
      <c r="G1078">
        <v>485.84</v>
      </c>
      <c r="H1078" s="2"/>
    </row>
    <row r="1079" spans="1:8" hidden="1" x14ac:dyDescent="0.25">
      <c r="A1079">
        <v>2022</v>
      </c>
      <c r="B1079" t="s">
        <v>41</v>
      </c>
      <c r="C1079">
        <v>2022</v>
      </c>
      <c r="D1079">
        <v>175.2</v>
      </c>
      <c r="E1079">
        <v>4</v>
      </c>
      <c r="F1079">
        <v>509981.85</v>
      </c>
      <c r="G1079">
        <v>480.22</v>
      </c>
      <c r="H1079" s="2"/>
    </row>
    <row r="1080" spans="1:8" hidden="1" x14ac:dyDescent="0.25">
      <c r="A1080">
        <v>2022</v>
      </c>
      <c r="B1080" t="s">
        <v>41</v>
      </c>
      <c r="C1080">
        <v>2023</v>
      </c>
      <c r="D1080">
        <v>1305.5999999999999</v>
      </c>
      <c r="E1080">
        <v>22</v>
      </c>
      <c r="F1080">
        <v>529364.62</v>
      </c>
      <c r="G1080">
        <v>485.23</v>
      </c>
      <c r="H1080" s="2"/>
    </row>
    <row r="1081" spans="1:8" hidden="1" x14ac:dyDescent="0.25">
      <c r="A1081">
        <v>2022</v>
      </c>
      <c r="B1081" t="s">
        <v>41</v>
      </c>
      <c r="C1081">
        <v>2024</v>
      </c>
      <c r="D1081">
        <v>1824.01</v>
      </c>
      <c r="E1081">
        <v>38</v>
      </c>
      <c r="F1081">
        <v>521201.43</v>
      </c>
      <c r="G1081">
        <v>473.61</v>
      </c>
      <c r="H1081" s="2"/>
    </row>
    <row r="1082" spans="1:8" hidden="1" x14ac:dyDescent="0.25">
      <c r="A1082">
        <v>2022</v>
      </c>
      <c r="B1082" t="s">
        <v>42</v>
      </c>
      <c r="C1082">
        <v>2019</v>
      </c>
      <c r="D1082">
        <v>185.37</v>
      </c>
      <c r="E1082">
        <v>5</v>
      </c>
      <c r="F1082">
        <v>549666.09</v>
      </c>
      <c r="G1082">
        <v>468.32</v>
      </c>
      <c r="H1082" s="2">
        <f t="shared" ref="H1082" si="178">SUM(E1082:E1087)</f>
        <v>76</v>
      </c>
    </row>
    <row r="1083" spans="1:8" hidden="1" x14ac:dyDescent="0.25">
      <c r="A1083">
        <v>2022</v>
      </c>
      <c r="B1083" t="s">
        <v>42</v>
      </c>
      <c r="C1083">
        <v>2020</v>
      </c>
      <c r="D1083">
        <v>528.71</v>
      </c>
      <c r="E1083">
        <v>9</v>
      </c>
      <c r="F1083">
        <v>533967.84</v>
      </c>
      <c r="G1083">
        <v>455.97</v>
      </c>
      <c r="H1083" s="2"/>
    </row>
    <row r="1084" spans="1:8" hidden="1" x14ac:dyDescent="0.25">
      <c r="A1084">
        <v>2022</v>
      </c>
      <c r="B1084" t="s">
        <v>42</v>
      </c>
      <c r="C1084">
        <v>2021</v>
      </c>
      <c r="D1084">
        <v>49.37</v>
      </c>
      <c r="E1084">
        <v>2</v>
      </c>
      <c r="F1084">
        <v>535303.14</v>
      </c>
      <c r="G1084">
        <v>457.55</v>
      </c>
      <c r="H1084" s="2"/>
    </row>
    <row r="1085" spans="1:8" hidden="1" x14ac:dyDescent="0.25">
      <c r="A1085">
        <v>2022</v>
      </c>
      <c r="B1085" t="s">
        <v>42</v>
      </c>
      <c r="C1085">
        <v>2022</v>
      </c>
      <c r="D1085">
        <v>188.45</v>
      </c>
      <c r="E1085">
        <v>5</v>
      </c>
      <c r="F1085">
        <v>518501.74</v>
      </c>
      <c r="G1085">
        <v>449.86</v>
      </c>
      <c r="H1085" s="2"/>
    </row>
    <row r="1086" spans="1:8" hidden="1" x14ac:dyDescent="0.25">
      <c r="A1086">
        <v>2022</v>
      </c>
      <c r="B1086" t="s">
        <v>42</v>
      </c>
      <c r="C1086">
        <v>2023</v>
      </c>
      <c r="D1086">
        <v>1401.38</v>
      </c>
      <c r="E1086">
        <v>26</v>
      </c>
      <c r="F1086">
        <v>535809.22</v>
      </c>
      <c r="G1086">
        <v>456.13</v>
      </c>
      <c r="H1086" s="2"/>
    </row>
    <row r="1087" spans="1:8" hidden="1" x14ac:dyDescent="0.25">
      <c r="A1087">
        <v>2022</v>
      </c>
      <c r="B1087" t="s">
        <v>42</v>
      </c>
      <c r="C1087">
        <v>2024</v>
      </c>
      <c r="D1087">
        <v>1323.91</v>
      </c>
      <c r="E1087">
        <v>29</v>
      </c>
      <c r="F1087">
        <v>529317.81000000006</v>
      </c>
      <c r="G1087">
        <v>448.67</v>
      </c>
      <c r="H1087" s="2"/>
    </row>
    <row r="1088" spans="1:8" hidden="1" x14ac:dyDescent="0.25">
      <c r="A1088">
        <v>2022</v>
      </c>
      <c r="B1088" t="s">
        <v>43</v>
      </c>
      <c r="C1088">
        <v>2019</v>
      </c>
      <c r="D1088">
        <v>412.97</v>
      </c>
      <c r="E1088">
        <v>12</v>
      </c>
      <c r="F1088">
        <v>624117.69999999995</v>
      </c>
      <c r="G1088">
        <v>381.41</v>
      </c>
      <c r="H1088" s="2">
        <f t="shared" ref="H1088" si="179">SUM(E1088:E1093)</f>
        <v>111</v>
      </c>
    </row>
    <row r="1089" spans="1:8" hidden="1" x14ac:dyDescent="0.25">
      <c r="A1089">
        <v>2022</v>
      </c>
      <c r="B1089" t="s">
        <v>43</v>
      </c>
      <c r="C1089">
        <v>2020</v>
      </c>
      <c r="D1089">
        <v>1104.7</v>
      </c>
      <c r="E1089">
        <v>26</v>
      </c>
      <c r="F1089">
        <v>610616.78</v>
      </c>
      <c r="G1089">
        <v>379.19</v>
      </c>
      <c r="H1089" s="2"/>
    </row>
    <row r="1090" spans="1:8" hidden="1" x14ac:dyDescent="0.25">
      <c r="A1090">
        <v>2022</v>
      </c>
      <c r="B1090" t="s">
        <v>43</v>
      </c>
      <c r="C1090">
        <v>2021</v>
      </c>
      <c r="D1090">
        <v>866.74</v>
      </c>
      <c r="E1090">
        <v>25</v>
      </c>
      <c r="F1090">
        <v>616916.17000000004</v>
      </c>
      <c r="G1090">
        <v>382.57</v>
      </c>
      <c r="H1090" s="2"/>
    </row>
    <row r="1091" spans="1:8" hidden="1" x14ac:dyDescent="0.25">
      <c r="A1091">
        <v>2022</v>
      </c>
      <c r="B1091" t="s">
        <v>43</v>
      </c>
      <c r="C1091">
        <v>2022</v>
      </c>
      <c r="D1091">
        <v>127.16</v>
      </c>
      <c r="E1091">
        <v>5</v>
      </c>
      <c r="F1091">
        <v>605071.17000000004</v>
      </c>
      <c r="G1091">
        <v>380.12</v>
      </c>
      <c r="H1091" s="2"/>
    </row>
    <row r="1092" spans="1:8" hidden="1" x14ac:dyDescent="0.25">
      <c r="A1092">
        <v>2022</v>
      </c>
      <c r="B1092" t="s">
        <v>43</v>
      </c>
      <c r="C1092">
        <v>2023</v>
      </c>
      <c r="D1092">
        <v>1248.8699999999999</v>
      </c>
      <c r="E1092">
        <v>25</v>
      </c>
      <c r="F1092">
        <v>621707.32999999996</v>
      </c>
      <c r="G1092">
        <v>379.09</v>
      </c>
      <c r="H1092" s="2"/>
    </row>
    <row r="1093" spans="1:8" hidden="1" x14ac:dyDescent="0.25">
      <c r="A1093">
        <v>2022</v>
      </c>
      <c r="B1093" t="s">
        <v>43</v>
      </c>
      <c r="C1093">
        <v>2024</v>
      </c>
      <c r="D1093">
        <v>604.08000000000004</v>
      </c>
      <c r="E1093">
        <v>18</v>
      </c>
      <c r="F1093">
        <v>613541.01</v>
      </c>
      <c r="G1093">
        <v>381.44</v>
      </c>
      <c r="H1093" s="2"/>
    </row>
    <row r="1094" spans="1:8" hidden="1" x14ac:dyDescent="0.25">
      <c r="A1094">
        <v>2022</v>
      </c>
      <c r="B1094" t="s">
        <v>44</v>
      </c>
      <c r="C1094">
        <v>2019</v>
      </c>
      <c r="D1094">
        <v>32.29</v>
      </c>
      <c r="E1094">
        <v>3</v>
      </c>
      <c r="F1094">
        <v>560688.61</v>
      </c>
      <c r="G1094">
        <v>467.56</v>
      </c>
      <c r="H1094" s="2">
        <f t="shared" ref="H1094" si="180">SUM(E1094:E1099)</f>
        <v>66</v>
      </c>
    </row>
    <row r="1095" spans="1:8" hidden="1" x14ac:dyDescent="0.25">
      <c r="A1095">
        <v>2022</v>
      </c>
      <c r="B1095" t="s">
        <v>44</v>
      </c>
      <c r="C1095">
        <v>2020</v>
      </c>
      <c r="D1095">
        <v>791.58</v>
      </c>
      <c r="E1095">
        <v>18</v>
      </c>
      <c r="F1095">
        <v>544895.79</v>
      </c>
      <c r="G1095">
        <v>459.31</v>
      </c>
      <c r="H1095" s="2"/>
    </row>
    <row r="1096" spans="1:8" hidden="1" x14ac:dyDescent="0.25">
      <c r="A1096">
        <v>2022</v>
      </c>
      <c r="B1096" t="s">
        <v>44</v>
      </c>
      <c r="C1096">
        <v>2021</v>
      </c>
      <c r="D1096">
        <v>102.19</v>
      </c>
      <c r="E1096">
        <v>5</v>
      </c>
      <c r="F1096">
        <v>545989.43000000005</v>
      </c>
      <c r="G1096">
        <v>460.5</v>
      </c>
      <c r="H1096" s="2"/>
    </row>
    <row r="1097" spans="1:8" hidden="1" x14ac:dyDescent="0.25">
      <c r="A1097">
        <v>2022</v>
      </c>
      <c r="B1097" t="s">
        <v>44</v>
      </c>
      <c r="C1097">
        <v>2022</v>
      </c>
      <c r="D1097">
        <v>194.84</v>
      </c>
      <c r="E1097">
        <v>6</v>
      </c>
      <c r="F1097">
        <v>532624.79</v>
      </c>
      <c r="G1097">
        <v>454.54</v>
      </c>
      <c r="H1097" s="2"/>
    </row>
    <row r="1098" spans="1:8" hidden="1" x14ac:dyDescent="0.25">
      <c r="A1098">
        <v>2022</v>
      </c>
      <c r="B1098" t="s">
        <v>44</v>
      </c>
      <c r="C1098">
        <v>2023</v>
      </c>
      <c r="D1098">
        <v>1466.84</v>
      </c>
      <c r="E1098">
        <v>26</v>
      </c>
      <c r="F1098">
        <v>551515.44999999995</v>
      </c>
      <c r="G1098">
        <v>460.26</v>
      </c>
      <c r="H1098" s="2"/>
    </row>
    <row r="1099" spans="1:8" hidden="1" x14ac:dyDescent="0.25">
      <c r="A1099">
        <v>2022</v>
      </c>
      <c r="B1099" t="s">
        <v>44</v>
      </c>
      <c r="C1099">
        <v>2024</v>
      </c>
      <c r="D1099">
        <v>444.02</v>
      </c>
      <c r="E1099">
        <v>8</v>
      </c>
      <c r="F1099">
        <v>542762.36</v>
      </c>
      <c r="G1099">
        <v>458.41</v>
      </c>
      <c r="H1099" s="2"/>
    </row>
    <row r="1100" spans="1:8" hidden="1" x14ac:dyDescent="0.25">
      <c r="A1100">
        <v>2022</v>
      </c>
      <c r="B1100" t="s">
        <v>45</v>
      </c>
      <c r="C1100">
        <v>2019</v>
      </c>
      <c r="D1100">
        <v>172.33</v>
      </c>
      <c r="E1100">
        <v>6</v>
      </c>
      <c r="F1100">
        <v>820667.46</v>
      </c>
      <c r="G1100">
        <v>361.16</v>
      </c>
      <c r="H1100" s="2">
        <f t="shared" ref="H1100" si="181">SUM(E1100:E1105)</f>
        <v>92</v>
      </c>
    </row>
    <row r="1101" spans="1:8" hidden="1" x14ac:dyDescent="0.25">
      <c r="A1101">
        <v>2022</v>
      </c>
      <c r="B1101" t="s">
        <v>45</v>
      </c>
      <c r="C1101">
        <v>2020</v>
      </c>
      <c r="D1101">
        <v>331.15</v>
      </c>
      <c r="E1101">
        <v>11</v>
      </c>
      <c r="F1101">
        <v>777311.92</v>
      </c>
      <c r="G1101">
        <v>358.35</v>
      </c>
      <c r="H1101" s="2"/>
    </row>
    <row r="1102" spans="1:8" hidden="1" x14ac:dyDescent="0.25">
      <c r="A1102">
        <v>2022</v>
      </c>
      <c r="B1102" t="s">
        <v>45</v>
      </c>
      <c r="C1102">
        <v>2021</v>
      </c>
      <c r="D1102">
        <v>620.34</v>
      </c>
      <c r="E1102">
        <v>11</v>
      </c>
      <c r="F1102">
        <v>788445.55</v>
      </c>
      <c r="G1102">
        <v>357.95</v>
      </c>
      <c r="H1102" s="2"/>
    </row>
    <row r="1103" spans="1:8" hidden="1" x14ac:dyDescent="0.25">
      <c r="A1103">
        <v>2022</v>
      </c>
      <c r="B1103" t="s">
        <v>45</v>
      </c>
      <c r="C1103">
        <v>2022</v>
      </c>
      <c r="D1103">
        <v>1041.25</v>
      </c>
      <c r="E1103">
        <v>23</v>
      </c>
      <c r="F1103">
        <v>761163.26</v>
      </c>
      <c r="G1103">
        <v>356.28</v>
      </c>
      <c r="H1103" s="2"/>
    </row>
    <row r="1104" spans="1:8" hidden="1" x14ac:dyDescent="0.25">
      <c r="A1104">
        <v>2022</v>
      </c>
      <c r="B1104" t="s">
        <v>45</v>
      </c>
      <c r="C1104">
        <v>2023</v>
      </c>
      <c r="D1104">
        <v>1084.74</v>
      </c>
      <c r="E1104">
        <v>19</v>
      </c>
      <c r="F1104">
        <v>804534.4</v>
      </c>
      <c r="G1104">
        <v>358.15</v>
      </c>
      <c r="H1104" s="2"/>
    </row>
    <row r="1105" spans="1:8" hidden="1" x14ac:dyDescent="0.25">
      <c r="A1105">
        <v>2022</v>
      </c>
      <c r="B1105" t="s">
        <v>45</v>
      </c>
      <c r="C1105">
        <v>2024</v>
      </c>
      <c r="D1105">
        <v>1286.6099999999999</v>
      </c>
      <c r="E1105">
        <v>22</v>
      </c>
      <c r="F1105">
        <v>774087.23</v>
      </c>
      <c r="G1105">
        <v>354.36</v>
      </c>
      <c r="H1105" s="2"/>
    </row>
    <row r="1106" spans="1:8" hidden="1" x14ac:dyDescent="0.25">
      <c r="A1106">
        <v>2022</v>
      </c>
      <c r="B1106" t="s">
        <v>46</v>
      </c>
      <c r="C1106">
        <v>2019</v>
      </c>
      <c r="D1106">
        <v>0</v>
      </c>
      <c r="E1106">
        <v>0</v>
      </c>
      <c r="F1106">
        <v>728513.51</v>
      </c>
      <c r="G1106">
        <v>421.97</v>
      </c>
      <c r="H1106" s="2">
        <f t="shared" ref="H1106" si="182">SUM(E1106:E1111)</f>
        <v>46</v>
      </c>
    </row>
    <row r="1107" spans="1:8" hidden="1" x14ac:dyDescent="0.25">
      <c r="A1107">
        <v>2022</v>
      </c>
      <c r="B1107" t="s">
        <v>46</v>
      </c>
      <c r="C1107">
        <v>2020</v>
      </c>
      <c r="D1107">
        <v>501.38</v>
      </c>
      <c r="E1107">
        <v>10</v>
      </c>
      <c r="F1107">
        <v>690435.6</v>
      </c>
      <c r="G1107">
        <v>412.65</v>
      </c>
      <c r="H1107" s="2"/>
    </row>
    <row r="1108" spans="1:8" hidden="1" x14ac:dyDescent="0.25">
      <c r="A1108">
        <v>2022</v>
      </c>
      <c r="B1108" t="s">
        <v>46</v>
      </c>
      <c r="C1108">
        <v>2021</v>
      </c>
      <c r="D1108">
        <v>1088.4100000000001</v>
      </c>
      <c r="E1108">
        <v>18</v>
      </c>
      <c r="F1108">
        <v>690472.61</v>
      </c>
      <c r="G1108">
        <v>411.34</v>
      </c>
      <c r="H1108" s="2"/>
    </row>
    <row r="1109" spans="1:8" hidden="1" x14ac:dyDescent="0.25">
      <c r="A1109">
        <v>2022</v>
      </c>
      <c r="B1109" t="s">
        <v>46</v>
      </c>
      <c r="C1109">
        <v>2022</v>
      </c>
      <c r="D1109">
        <v>983.68</v>
      </c>
      <c r="E1109">
        <v>18</v>
      </c>
      <c r="F1109">
        <v>692559.09</v>
      </c>
      <c r="G1109">
        <v>411.52</v>
      </c>
      <c r="H1109" s="2"/>
    </row>
    <row r="1110" spans="1:8" hidden="1" x14ac:dyDescent="0.25">
      <c r="A1110">
        <v>2022</v>
      </c>
      <c r="B1110" t="s">
        <v>46</v>
      </c>
      <c r="C1110">
        <v>2023</v>
      </c>
      <c r="D1110">
        <v>0</v>
      </c>
      <c r="E1110">
        <v>0</v>
      </c>
      <c r="F1110">
        <v>715315.93</v>
      </c>
      <c r="G1110">
        <v>420.68</v>
      </c>
      <c r="H1110" s="2"/>
    </row>
    <row r="1111" spans="1:8" hidden="1" x14ac:dyDescent="0.25">
      <c r="A1111">
        <v>2022</v>
      </c>
      <c r="B1111" t="s">
        <v>46</v>
      </c>
      <c r="C1111">
        <v>2024</v>
      </c>
      <c r="D1111">
        <v>0</v>
      </c>
      <c r="E1111">
        <v>0</v>
      </c>
      <c r="F1111">
        <v>677368.45</v>
      </c>
      <c r="G1111">
        <v>412.4</v>
      </c>
      <c r="H1111" s="2"/>
    </row>
    <row r="1112" spans="1:8" hidden="1" x14ac:dyDescent="0.25">
      <c r="A1112">
        <v>2022</v>
      </c>
      <c r="B1112" t="s">
        <v>47</v>
      </c>
      <c r="C1112">
        <v>2019</v>
      </c>
      <c r="D1112">
        <v>133.27000000000001</v>
      </c>
      <c r="E1112">
        <v>3</v>
      </c>
      <c r="F1112">
        <v>628396.01</v>
      </c>
      <c r="G1112">
        <v>456.96</v>
      </c>
      <c r="H1112" s="2">
        <f t="shared" ref="H1112" si="183">SUM(E1112:E1117)</f>
        <v>76</v>
      </c>
    </row>
    <row r="1113" spans="1:8" hidden="1" x14ac:dyDescent="0.25">
      <c r="A1113">
        <v>2022</v>
      </c>
      <c r="B1113" t="s">
        <v>47</v>
      </c>
      <c r="C1113">
        <v>2020</v>
      </c>
      <c r="D1113">
        <v>764.7</v>
      </c>
      <c r="E1113">
        <v>14</v>
      </c>
      <c r="F1113">
        <v>596226.53</v>
      </c>
      <c r="G1113">
        <v>451.5</v>
      </c>
      <c r="H1113" s="2"/>
    </row>
    <row r="1114" spans="1:8" hidden="1" x14ac:dyDescent="0.25">
      <c r="A1114">
        <v>2022</v>
      </c>
      <c r="B1114" t="s">
        <v>47</v>
      </c>
      <c r="C1114">
        <v>2021</v>
      </c>
      <c r="D1114">
        <v>978.88</v>
      </c>
      <c r="E1114">
        <v>16</v>
      </c>
      <c r="F1114">
        <v>603958.66</v>
      </c>
      <c r="G1114">
        <v>452.38</v>
      </c>
      <c r="H1114" s="2"/>
    </row>
    <row r="1115" spans="1:8" hidden="1" x14ac:dyDescent="0.25">
      <c r="A1115">
        <v>2022</v>
      </c>
      <c r="B1115" t="s">
        <v>47</v>
      </c>
      <c r="C1115">
        <v>2022</v>
      </c>
      <c r="D1115">
        <v>1120.24</v>
      </c>
      <c r="E1115">
        <v>19</v>
      </c>
      <c r="F1115">
        <v>598274.56999999995</v>
      </c>
      <c r="G1115">
        <v>447.86</v>
      </c>
      <c r="H1115" s="2"/>
    </row>
    <row r="1116" spans="1:8" hidden="1" x14ac:dyDescent="0.25">
      <c r="A1116">
        <v>2022</v>
      </c>
      <c r="B1116" t="s">
        <v>47</v>
      </c>
      <c r="C1116">
        <v>2023</v>
      </c>
      <c r="D1116">
        <v>407.26</v>
      </c>
      <c r="E1116">
        <v>9</v>
      </c>
      <c r="F1116">
        <v>618837.69999999995</v>
      </c>
      <c r="G1116">
        <v>457.07</v>
      </c>
      <c r="H1116" s="2"/>
    </row>
    <row r="1117" spans="1:8" hidden="1" x14ac:dyDescent="0.25">
      <c r="A1117">
        <v>2022</v>
      </c>
      <c r="B1117" t="s">
        <v>47</v>
      </c>
      <c r="C1117">
        <v>2024</v>
      </c>
      <c r="D1117">
        <v>669.81</v>
      </c>
      <c r="E1117">
        <v>15</v>
      </c>
      <c r="F1117">
        <v>585563.55000000005</v>
      </c>
      <c r="G1117">
        <v>442.42</v>
      </c>
      <c r="H1117" s="2"/>
    </row>
    <row r="1118" spans="1:8" hidden="1" x14ac:dyDescent="0.25">
      <c r="A1118">
        <v>2022</v>
      </c>
      <c r="B1118" t="s">
        <v>48</v>
      </c>
      <c r="C1118">
        <v>2019</v>
      </c>
      <c r="D1118">
        <v>717.6</v>
      </c>
      <c r="E1118">
        <v>15</v>
      </c>
      <c r="F1118">
        <v>762901.16</v>
      </c>
      <c r="G1118">
        <v>378.99</v>
      </c>
      <c r="H1118" s="2">
        <f t="shared" ref="H1118" si="184">SUM(E1118:E1123)</f>
        <v>83</v>
      </c>
    </row>
    <row r="1119" spans="1:8" hidden="1" x14ac:dyDescent="0.25">
      <c r="A1119">
        <v>2022</v>
      </c>
      <c r="B1119" t="s">
        <v>48</v>
      </c>
      <c r="C1119">
        <v>2020</v>
      </c>
      <c r="D1119">
        <v>871.18</v>
      </c>
      <c r="E1119">
        <v>18</v>
      </c>
      <c r="F1119">
        <v>736314.99</v>
      </c>
      <c r="G1119">
        <v>378.25</v>
      </c>
      <c r="H1119" s="2"/>
    </row>
    <row r="1120" spans="1:8" hidden="1" x14ac:dyDescent="0.25">
      <c r="A1120">
        <v>2022</v>
      </c>
      <c r="B1120" t="s">
        <v>48</v>
      </c>
      <c r="C1120">
        <v>2021</v>
      </c>
      <c r="D1120">
        <v>30.36</v>
      </c>
      <c r="E1120">
        <v>1</v>
      </c>
      <c r="F1120">
        <v>746704.57</v>
      </c>
      <c r="G1120">
        <v>377.45</v>
      </c>
      <c r="H1120" s="2"/>
    </row>
    <row r="1121" spans="1:8" hidden="1" x14ac:dyDescent="0.25">
      <c r="A1121">
        <v>2022</v>
      </c>
      <c r="B1121" t="s">
        <v>48</v>
      </c>
      <c r="C1121">
        <v>2022</v>
      </c>
      <c r="D1121">
        <v>297.45999999999998</v>
      </c>
      <c r="E1121">
        <v>8</v>
      </c>
      <c r="F1121">
        <v>707046.99</v>
      </c>
      <c r="G1121">
        <v>373.09</v>
      </c>
      <c r="H1121" s="2"/>
    </row>
    <row r="1122" spans="1:8" hidden="1" x14ac:dyDescent="0.25">
      <c r="A1122">
        <v>2022</v>
      </c>
      <c r="B1122" t="s">
        <v>48</v>
      </c>
      <c r="C1122">
        <v>2023</v>
      </c>
      <c r="D1122">
        <v>925.74</v>
      </c>
      <c r="E1122">
        <v>15</v>
      </c>
      <c r="F1122">
        <v>748144.56</v>
      </c>
      <c r="G1122">
        <v>379.16</v>
      </c>
      <c r="H1122" s="2"/>
    </row>
    <row r="1123" spans="1:8" hidden="1" x14ac:dyDescent="0.25">
      <c r="A1123">
        <v>2022</v>
      </c>
      <c r="B1123" t="s">
        <v>48</v>
      </c>
      <c r="C1123">
        <v>2024</v>
      </c>
      <c r="D1123">
        <v>1061.5999999999999</v>
      </c>
      <c r="E1123">
        <v>26</v>
      </c>
      <c r="F1123">
        <v>752999.29</v>
      </c>
      <c r="G1123">
        <v>373.33</v>
      </c>
      <c r="H1123" s="2"/>
    </row>
    <row r="1124" spans="1:8" hidden="1" x14ac:dyDescent="0.25">
      <c r="A1124">
        <v>2022</v>
      </c>
      <c r="B1124" t="s">
        <v>49</v>
      </c>
      <c r="C1124">
        <v>2019</v>
      </c>
      <c r="D1124">
        <v>472.55</v>
      </c>
      <c r="E1124">
        <v>12</v>
      </c>
      <c r="F1124">
        <v>785473.01</v>
      </c>
      <c r="G1124">
        <v>397.53</v>
      </c>
      <c r="H1124" s="2">
        <f t="shared" ref="H1124" si="185">SUM(E1124:E1129)</f>
        <v>77</v>
      </c>
    </row>
    <row r="1125" spans="1:8" hidden="1" x14ac:dyDescent="0.25">
      <c r="A1125">
        <v>2022</v>
      </c>
      <c r="B1125" t="s">
        <v>49</v>
      </c>
      <c r="C1125">
        <v>2020</v>
      </c>
      <c r="D1125">
        <v>383.79</v>
      </c>
      <c r="E1125">
        <v>7</v>
      </c>
      <c r="F1125">
        <v>762567.45</v>
      </c>
      <c r="G1125">
        <v>399.75</v>
      </c>
      <c r="H1125" s="2"/>
    </row>
    <row r="1126" spans="1:8" hidden="1" x14ac:dyDescent="0.25">
      <c r="A1126">
        <v>2022</v>
      </c>
      <c r="B1126" t="s">
        <v>49</v>
      </c>
      <c r="C1126">
        <v>2021</v>
      </c>
      <c r="D1126">
        <v>380.67</v>
      </c>
      <c r="E1126">
        <v>8</v>
      </c>
      <c r="F1126">
        <v>771505.49</v>
      </c>
      <c r="G1126">
        <v>398.86</v>
      </c>
      <c r="H1126" s="2"/>
    </row>
    <row r="1127" spans="1:8" hidden="1" x14ac:dyDescent="0.25">
      <c r="A1127">
        <v>2022</v>
      </c>
      <c r="B1127" t="s">
        <v>49</v>
      </c>
      <c r="C1127">
        <v>2022</v>
      </c>
      <c r="D1127">
        <v>269.3</v>
      </c>
      <c r="E1127">
        <v>8</v>
      </c>
      <c r="F1127">
        <v>735025.92</v>
      </c>
      <c r="G1127">
        <v>394.9</v>
      </c>
      <c r="H1127" s="2"/>
    </row>
    <row r="1128" spans="1:8" hidden="1" x14ac:dyDescent="0.25">
      <c r="A1128">
        <v>2022</v>
      </c>
      <c r="B1128" t="s">
        <v>49</v>
      </c>
      <c r="C1128">
        <v>2023</v>
      </c>
      <c r="D1128">
        <v>675</v>
      </c>
      <c r="E1128">
        <v>12</v>
      </c>
      <c r="F1128">
        <v>773906.35</v>
      </c>
      <c r="G1128">
        <v>398.33</v>
      </c>
      <c r="H1128" s="2"/>
    </row>
    <row r="1129" spans="1:8" hidden="1" x14ac:dyDescent="0.25">
      <c r="A1129">
        <v>2022</v>
      </c>
      <c r="B1129" t="s">
        <v>49</v>
      </c>
      <c r="C1129">
        <v>2024</v>
      </c>
      <c r="D1129">
        <v>1343.16</v>
      </c>
      <c r="E1129">
        <v>30</v>
      </c>
      <c r="F1129">
        <v>773482.16</v>
      </c>
      <c r="G1129">
        <v>393.29</v>
      </c>
      <c r="H1129" s="2"/>
    </row>
    <row r="1130" spans="1:8" hidden="1" x14ac:dyDescent="0.25">
      <c r="A1130">
        <v>2022</v>
      </c>
      <c r="B1130" t="s">
        <v>50</v>
      </c>
      <c r="C1130">
        <v>2019</v>
      </c>
      <c r="D1130">
        <v>111.7</v>
      </c>
      <c r="E1130">
        <v>4</v>
      </c>
      <c r="F1130">
        <v>765777.27</v>
      </c>
      <c r="G1130">
        <v>460.29</v>
      </c>
      <c r="H1130" s="2">
        <f t="shared" ref="H1130" si="186">SUM(E1130:E1135)</f>
        <v>32</v>
      </c>
    </row>
    <row r="1131" spans="1:8" hidden="1" x14ac:dyDescent="0.25">
      <c r="A1131">
        <v>2022</v>
      </c>
      <c r="B1131" t="s">
        <v>50</v>
      </c>
      <c r="C1131">
        <v>2020</v>
      </c>
      <c r="D1131">
        <v>277.57</v>
      </c>
      <c r="E1131">
        <v>5</v>
      </c>
      <c r="F1131">
        <v>732422.99</v>
      </c>
      <c r="G1131">
        <v>460.94</v>
      </c>
      <c r="H1131" s="2"/>
    </row>
    <row r="1132" spans="1:8" hidden="1" x14ac:dyDescent="0.25">
      <c r="A1132">
        <v>2022</v>
      </c>
      <c r="B1132" t="s">
        <v>50</v>
      </c>
      <c r="C1132">
        <v>2021</v>
      </c>
      <c r="D1132">
        <v>380.02</v>
      </c>
      <c r="E1132">
        <v>5</v>
      </c>
      <c r="F1132">
        <v>734357.3</v>
      </c>
      <c r="G1132">
        <v>459.09</v>
      </c>
      <c r="H1132" s="2"/>
    </row>
    <row r="1133" spans="1:8" hidden="1" x14ac:dyDescent="0.25">
      <c r="A1133">
        <v>2022</v>
      </c>
      <c r="B1133" t="s">
        <v>50</v>
      </c>
      <c r="C1133">
        <v>2022</v>
      </c>
      <c r="D1133">
        <v>274.64</v>
      </c>
      <c r="E1133">
        <v>6</v>
      </c>
      <c r="F1133">
        <v>718562.07</v>
      </c>
      <c r="G1133">
        <v>453.02</v>
      </c>
      <c r="H1133" s="2"/>
    </row>
    <row r="1134" spans="1:8" hidden="1" x14ac:dyDescent="0.25">
      <c r="A1134">
        <v>2022</v>
      </c>
      <c r="B1134" t="s">
        <v>50</v>
      </c>
      <c r="C1134">
        <v>2023</v>
      </c>
      <c r="D1134">
        <v>90.56</v>
      </c>
      <c r="E1134">
        <v>2</v>
      </c>
      <c r="F1134">
        <v>772228.96</v>
      </c>
      <c r="G1134">
        <v>465.54</v>
      </c>
      <c r="H1134" s="2"/>
    </row>
    <row r="1135" spans="1:8" hidden="1" x14ac:dyDescent="0.25">
      <c r="A1135">
        <v>2022</v>
      </c>
      <c r="B1135" t="s">
        <v>50</v>
      </c>
      <c r="C1135">
        <v>2024</v>
      </c>
      <c r="D1135">
        <v>473.36</v>
      </c>
      <c r="E1135">
        <v>10</v>
      </c>
      <c r="F1135">
        <v>725623.78</v>
      </c>
      <c r="G1135">
        <v>455.83</v>
      </c>
      <c r="H1135" s="2"/>
    </row>
    <row r="1136" spans="1:8" hidden="1" x14ac:dyDescent="0.25">
      <c r="A1136">
        <v>2022</v>
      </c>
      <c r="B1136" t="s">
        <v>51</v>
      </c>
      <c r="C1136">
        <v>2019</v>
      </c>
      <c r="D1136">
        <v>612.70000000000005</v>
      </c>
      <c r="E1136">
        <v>14</v>
      </c>
      <c r="F1136">
        <v>929009.38</v>
      </c>
      <c r="G1136">
        <v>373.77</v>
      </c>
      <c r="H1136" s="2">
        <f t="shared" ref="H1136" si="187">SUM(E1136:E1141)</f>
        <v>62</v>
      </c>
    </row>
    <row r="1137" spans="1:8" hidden="1" x14ac:dyDescent="0.25">
      <c r="A1137">
        <v>2022</v>
      </c>
      <c r="B1137" t="s">
        <v>51</v>
      </c>
      <c r="C1137">
        <v>2020</v>
      </c>
      <c r="D1137">
        <v>92.7</v>
      </c>
      <c r="E1137">
        <v>8</v>
      </c>
      <c r="F1137">
        <v>877978.76</v>
      </c>
      <c r="G1137">
        <v>372.75</v>
      </c>
      <c r="H1137" s="2"/>
    </row>
    <row r="1138" spans="1:8" hidden="1" x14ac:dyDescent="0.25">
      <c r="A1138">
        <v>2022</v>
      </c>
      <c r="B1138" t="s">
        <v>51</v>
      </c>
      <c r="C1138">
        <v>2021</v>
      </c>
      <c r="D1138">
        <v>245.53</v>
      </c>
      <c r="E1138">
        <v>6</v>
      </c>
      <c r="F1138">
        <v>888478.18</v>
      </c>
      <c r="G1138">
        <v>375.7</v>
      </c>
      <c r="H1138" s="2"/>
    </row>
    <row r="1139" spans="1:8" hidden="1" x14ac:dyDescent="0.25">
      <c r="A1139">
        <v>2022</v>
      </c>
      <c r="B1139" t="s">
        <v>51</v>
      </c>
      <c r="C1139">
        <v>2022</v>
      </c>
      <c r="D1139">
        <v>1103.33</v>
      </c>
      <c r="E1139">
        <v>20</v>
      </c>
      <c r="F1139">
        <v>850979.22</v>
      </c>
      <c r="G1139">
        <v>366.47</v>
      </c>
      <c r="H1139" s="2"/>
    </row>
    <row r="1140" spans="1:8" hidden="1" x14ac:dyDescent="0.25">
      <c r="A1140">
        <v>2022</v>
      </c>
      <c r="B1140" t="s">
        <v>51</v>
      </c>
      <c r="C1140">
        <v>2023</v>
      </c>
      <c r="D1140">
        <v>122.82</v>
      </c>
      <c r="E1140">
        <v>4</v>
      </c>
      <c r="F1140">
        <v>927692.68</v>
      </c>
      <c r="G1140">
        <v>376.52</v>
      </c>
      <c r="H1140" s="2"/>
    </row>
    <row r="1141" spans="1:8" hidden="1" x14ac:dyDescent="0.25">
      <c r="A1141">
        <v>2022</v>
      </c>
      <c r="B1141" t="s">
        <v>51</v>
      </c>
      <c r="C1141">
        <v>2024</v>
      </c>
      <c r="D1141">
        <v>354.48</v>
      </c>
      <c r="E1141">
        <v>10</v>
      </c>
      <c r="F1141">
        <v>868986.68</v>
      </c>
      <c r="G1141">
        <v>368.89</v>
      </c>
      <c r="H1141" s="2"/>
    </row>
    <row r="1142" spans="1:8" hidden="1" x14ac:dyDescent="0.25">
      <c r="A1142">
        <v>2022</v>
      </c>
      <c r="B1142" t="s">
        <v>52</v>
      </c>
      <c r="C1142">
        <v>2019</v>
      </c>
      <c r="D1142">
        <v>168.54</v>
      </c>
      <c r="E1142">
        <v>3</v>
      </c>
      <c r="F1142">
        <v>850922.95</v>
      </c>
      <c r="G1142">
        <v>378.73</v>
      </c>
      <c r="H1142" s="2">
        <f t="shared" ref="H1142" si="188">SUM(E1142:E1147)</f>
        <v>71</v>
      </c>
    </row>
    <row r="1143" spans="1:8" hidden="1" x14ac:dyDescent="0.25">
      <c r="A1143">
        <v>2022</v>
      </c>
      <c r="B1143" t="s">
        <v>52</v>
      </c>
      <c r="C1143">
        <v>2020</v>
      </c>
      <c r="D1143">
        <v>414.93</v>
      </c>
      <c r="E1143">
        <v>9</v>
      </c>
      <c r="F1143">
        <v>807492.72</v>
      </c>
      <c r="G1143">
        <v>374.22</v>
      </c>
      <c r="H1143" s="2"/>
    </row>
    <row r="1144" spans="1:8" hidden="1" x14ac:dyDescent="0.25">
      <c r="A1144">
        <v>2022</v>
      </c>
      <c r="B1144" t="s">
        <v>52</v>
      </c>
      <c r="C1144">
        <v>2021</v>
      </c>
      <c r="D1144">
        <v>815.28</v>
      </c>
      <c r="E1144">
        <v>14</v>
      </c>
      <c r="F1144">
        <v>828059.61</v>
      </c>
      <c r="G1144">
        <v>375.95</v>
      </c>
      <c r="H1144" s="2"/>
    </row>
    <row r="1145" spans="1:8" hidden="1" x14ac:dyDescent="0.25">
      <c r="A1145">
        <v>2022</v>
      </c>
      <c r="B1145" t="s">
        <v>52</v>
      </c>
      <c r="C1145">
        <v>2022</v>
      </c>
      <c r="D1145">
        <v>211.97</v>
      </c>
      <c r="E1145">
        <v>5</v>
      </c>
      <c r="F1145">
        <v>808852.7</v>
      </c>
      <c r="G1145">
        <v>372.93</v>
      </c>
      <c r="H1145" s="2"/>
    </row>
    <row r="1146" spans="1:8" hidden="1" x14ac:dyDescent="0.25">
      <c r="A1146">
        <v>2022</v>
      </c>
      <c r="B1146" t="s">
        <v>52</v>
      </c>
      <c r="C1146">
        <v>2023</v>
      </c>
      <c r="D1146">
        <v>684.44</v>
      </c>
      <c r="E1146">
        <v>14</v>
      </c>
      <c r="F1146">
        <v>853887.85</v>
      </c>
      <c r="G1146">
        <v>378.44</v>
      </c>
      <c r="H1146" s="2"/>
    </row>
    <row r="1147" spans="1:8" hidden="1" x14ac:dyDescent="0.25">
      <c r="A1147">
        <v>2022</v>
      </c>
      <c r="B1147" t="s">
        <v>52</v>
      </c>
      <c r="C1147">
        <v>2024</v>
      </c>
      <c r="D1147">
        <v>1678.96</v>
      </c>
      <c r="E1147">
        <v>26</v>
      </c>
      <c r="F1147">
        <v>816032.01</v>
      </c>
      <c r="G1147">
        <v>372.04</v>
      </c>
      <c r="H1147" s="2"/>
    </row>
    <row r="1148" spans="1:8" hidden="1" x14ac:dyDescent="0.25">
      <c r="A1148">
        <v>2022</v>
      </c>
      <c r="B1148" t="s">
        <v>53</v>
      </c>
      <c r="C1148">
        <v>2019</v>
      </c>
      <c r="D1148">
        <v>745.31</v>
      </c>
      <c r="E1148">
        <v>14</v>
      </c>
      <c r="F1148">
        <v>749906.55</v>
      </c>
      <c r="G1148">
        <v>385.01</v>
      </c>
      <c r="H1148" s="2">
        <f t="shared" ref="H1148" si="189">SUM(E1148:E1153)</f>
        <v>97</v>
      </c>
    </row>
    <row r="1149" spans="1:8" hidden="1" x14ac:dyDescent="0.25">
      <c r="A1149">
        <v>2022</v>
      </c>
      <c r="B1149" t="s">
        <v>53</v>
      </c>
      <c r="C1149">
        <v>2020</v>
      </c>
      <c r="D1149">
        <v>616.05999999999995</v>
      </c>
      <c r="E1149">
        <v>9</v>
      </c>
      <c r="F1149">
        <v>717627.15</v>
      </c>
      <c r="G1149">
        <v>379.95</v>
      </c>
      <c r="H1149" s="2"/>
    </row>
    <row r="1150" spans="1:8" hidden="1" x14ac:dyDescent="0.25">
      <c r="A1150">
        <v>2022</v>
      </c>
      <c r="B1150" t="s">
        <v>53</v>
      </c>
      <c r="C1150">
        <v>2021</v>
      </c>
      <c r="D1150">
        <v>1296.3</v>
      </c>
      <c r="E1150">
        <v>25</v>
      </c>
      <c r="F1150">
        <v>731545.02</v>
      </c>
      <c r="G1150">
        <v>382.43</v>
      </c>
      <c r="H1150" s="2"/>
    </row>
    <row r="1151" spans="1:8" hidden="1" x14ac:dyDescent="0.25">
      <c r="A1151">
        <v>2022</v>
      </c>
      <c r="B1151" t="s">
        <v>53</v>
      </c>
      <c r="C1151">
        <v>2022</v>
      </c>
      <c r="D1151">
        <v>284.97000000000003</v>
      </c>
      <c r="E1151">
        <v>8</v>
      </c>
      <c r="F1151">
        <v>720622.75</v>
      </c>
      <c r="G1151">
        <v>375.97</v>
      </c>
      <c r="H1151" s="2"/>
    </row>
    <row r="1152" spans="1:8" hidden="1" x14ac:dyDescent="0.25">
      <c r="A1152">
        <v>2022</v>
      </c>
      <c r="B1152" t="s">
        <v>53</v>
      </c>
      <c r="C1152">
        <v>2023</v>
      </c>
      <c r="D1152">
        <v>519.83000000000004</v>
      </c>
      <c r="E1152">
        <v>8</v>
      </c>
      <c r="F1152">
        <v>746511.79</v>
      </c>
      <c r="G1152">
        <v>386.89</v>
      </c>
      <c r="H1152" s="2"/>
    </row>
    <row r="1153" spans="1:8" hidden="1" x14ac:dyDescent="0.25">
      <c r="A1153">
        <v>2022</v>
      </c>
      <c r="B1153" t="s">
        <v>53</v>
      </c>
      <c r="C1153">
        <v>2024</v>
      </c>
      <c r="D1153">
        <v>1915.14</v>
      </c>
      <c r="E1153">
        <v>33</v>
      </c>
      <c r="F1153">
        <v>705887.26</v>
      </c>
      <c r="G1153">
        <v>376.02</v>
      </c>
      <c r="H1153" s="2"/>
    </row>
    <row r="1154" spans="1:8" hidden="1" x14ac:dyDescent="0.25">
      <c r="A1154">
        <v>2023</v>
      </c>
      <c r="B1154" t="s">
        <v>7</v>
      </c>
      <c r="C1154">
        <v>2019</v>
      </c>
      <c r="D1154">
        <v>154.74</v>
      </c>
      <c r="E1154">
        <v>4</v>
      </c>
      <c r="F1154">
        <v>644781.64</v>
      </c>
      <c r="G1154">
        <v>513.73</v>
      </c>
      <c r="H1154" s="2">
        <f t="shared" ref="H1154" si="190">SUM(E1154:E1159)</f>
        <v>225</v>
      </c>
    </row>
    <row r="1155" spans="1:8" hidden="1" x14ac:dyDescent="0.25">
      <c r="A1155">
        <v>2023</v>
      </c>
      <c r="B1155" t="s">
        <v>7</v>
      </c>
      <c r="C1155">
        <v>2020</v>
      </c>
      <c r="D1155">
        <v>2078.13</v>
      </c>
      <c r="E1155">
        <v>47</v>
      </c>
      <c r="F1155">
        <v>604729</v>
      </c>
      <c r="G1155">
        <v>487.33</v>
      </c>
      <c r="H1155" s="2"/>
    </row>
    <row r="1156" spans="1:8" hidden="1" x14ac:dyDescent="0.25">
      <c r="A1156">
        <v>2023</v>
      </c>
      <c r="B1156" t="s">
        <v>7</v>
      </c>
      <c r="C1156">
        <v>2021</v>
      </c>
      <c r="D1156">
        <v>2281.59</v>
      </c>
      <c r="E1156">
        <v>42</v>
      </c>
      <c r="F1156">
        <v>632218.92000000004</v>
      </c>
      <c r="G1156">
        <v>492.04</v>
      </c>
      <c r="H1156" s="2"/>
    </row>
    <row r="1157" spans="1:8" hidden="1" x14ac:dyDescent="0.25">
      <c r="A1157">
        <v>2023</v>
      </c>
      <c r="B1157" t="s">
        <v>7</v>
      </c>
      <c r="C1157">
        <v>2022</v>
      </c>
      <c r="D1157">
        <v>2849.06</v>
      </c>
      <c r="E1157">
        <v>53</v>
      </c>
      <c r="F1157">
        <v>610172.98</v>
      </c>
      <c r="G1157">
        <v>488.64</v>
      </c>
      <c r="H1157" s="2"/>
    </row>
    <row r="1158" spans="1:8" hidden="1" x14ac:dyDescent="0.25">
      <c r="A1158">
        <v>2023</v>
      </c>
      <c r="B1158" t="s">
        <v>7</v>
      </c>
      <c r="C1158">
        <v>2023</v>
      </c>
      <c r="D1158">
        <v>825.8</v>
      </c>
      <c r="E1158">
        <v>17</v>
      </c>
      <c r="F1158">
        <v>626560.24</v>
      </c>
      <c r="G1158">
        <v>504.01</v>
      </c>
      <c r="H1158" s="2"/>
    </row>
    <row r="1159" spans="1:8" hidden="1" x14ac:dyDescent="0.25">
      <c r="A1159">
        <v>2023</v>
      </c>
      <c r="B1159" t="s">
        <v>7</v>
      </c>
      <c r="C1159">
        <v>2024</v>
      </c>
      <c r="D1159">
        <v>2682.46</v>
      </c>
      <c r="E1159">
        <v>62</v>
      </c>
      <c r="F1159">
        <v>639839.28</v>
      </c>
      <c r="G1159">
        <v>488.11</v>
      </c>
      <c r="H1159" s="2"/>
    </row>
    <row r="1160" spans="1:8" hidden="1" x14ac:dyDescent="0.25">
      <c r="A1160">
        <v>2023</v>
      </c>
      <c r="B1160" t="s">
        <v>8</v>
      </c>
      <c r="C1160">
        <v>2019</v>
      </c>
      <c r="D1160">
        <v>375.54</v>
      </c>
      <c r="E1160">
        <v>10</v>
      </c>
      <c r="F1160">
        <v>794570.22</v>
      </c>
      <c r="G1160">
        <v>375.98</v>
      </c>
      <c r="H1160" s="2">
        <f t="shared" ref="H1160" si="191">SUM(E1160:E1165)</f>
        <v>109</v>
      </c>
    </row>
    <row r="1161" spans="1:8" hidden="1" x14ac:dyDescent="0.25">
      <c r="A1161">
        <v>2023</v>
      </c>
      <c r="B1161" t="s">
        <v>8</v>
      </c>
      <c r="C1161">
        <v>2020</v>
      </c>
      <c r="D1161">
        <v>1143.8800000000001</v>
      </c>
      <c r="E1161">
        <v>30</v>
      </c>
      <c r="F1161">
        <v>746966.72</v>
      </c>
      <c r="G1161">
        <v>367.09</v>
      </c>
      <c r="H1161" s="2"/>
    </row>
    <row r="1162" spans="1:8" hidden="1" x14ac:dyDescent="0.25">
      <c r="A1162">
        <v>2023</v>
      </c>
      <c r="B1162" t="s">
        <v>8</v>
      </c>
      <c r="C1162">
        <v>2021</v>
      </c>
      <c r="D1162">
        <v>847.46</v>
      </c>
      <c r="E1162">
        <v>18</v>
      </c>
      <c r="F1162">
        <v>767377.23</v>
      </c>
      <c r="G1162">
        <v>372.77</v>
      </c>
      <c r="H1162" s="2"/>
    </row>
    <row r="1163" spans="1:8" hidden="1" x14ac:dyDescent="0.25">
      <c r="A1163">
        <v>2023</v>
      </c>
      <c r="B1163" t="s">
        <v>8</v>
      </c>
      <c r="C1163">
        <v>2022</v>
      </c>
      <c r="D1163">
        <v>1369.23</v>
      </c>
      <c r="E1163">
        <v>24</v>
      </c>
      <c r="F1163">
        <v>729746.34</v>
      </c>
      <c r="G1163">
        <v>365.94</v>
      </c>
      <c r="H1163" s="2"/>
    </row>
    <row r="1164" spans="1:8" hidden="1" x14ac:dyDescent="0.25">
      <c r="A1164">
        <v>2023</v>
      </c>
      <c r="B1164" t="s">
        <v>8</v>
      </c>
      <c r="C1164">
        <v>2023</v>
      </c>
      <c r="D1164">
        <v>647.21</v>
      </c>
      <c r="E1164">
        <v>14</v>
      </c>
      <c r="F1164">
        <v>762791.27</v>
      </c>
      <c r="G1164">
        <v>373.34</v>
      </c>
      <c r="H1164" s="2"/>
    </row>
    <row r="1165" spans="1:8" hidden="1" x14ac:dyDescent="0.25">
      <c r="A1165">
        <v>2023</v>
      </c>
      <c r="B1165" t="s">
        <v>8</v>
      </c>
      <c r="C1165">
        <v>2024</v>
      </c>
      <c r="D1165">
        <v>789.69</v>
      </c>
      <c r="E1165">
        <v>13</v>
      </c>
      <c r="F1165">
        <v>781298.43</v>
      </c>
      <c r="G1165">
        <v>370.88</v>
      </c>
      <c r="H1165" s="2"/>
    </row>
    <row r="1166" spans="1:8" hidden="1" x14ac:dyDescent="0.25">
      <c r="A1166">
        <v>2023</v>
      </c>
      <c r="B1166" t="s">
        <v>9</v>
      </c>
      <c r="C1166">
        <v>2019</v>
      </c>
      <c r="D1166">
        <v>144.01</v>
      </c>
      <c r="E1166">
        <v>3</v>
      </c>
      <c r="F1166">
        <v>850537.32</v>
      </c>
      <c r="G1166">
        <v>778.56</v>
      </c>
      <c r="H1166" s="2">
        <f t="shared" ref="H1166" si="192">SUM(E1166:E1171)</f>
        <v>55</v>
      </c>
    </row>
    <row r="1167" spans="1:8" hidden="1" x14ac:dyDescent="0.25">
      <c r="A1167">
        <v>2023</v>
      </c>
      <c r="B1167" t="s">
        <v>9</v>
      </c>
      <c r="C1167">
        <v>2020</v>
      </c>
      <c r="D1167">
        <v>31.96</v>
      </c>
      <c r="E1167">
        <v>2</v>
      </c>
      <c r="F1167">
        <v>819510.29</v>
      </c>
      <c r="G1167">
        <v>769.88</v>
      </c>
      <c r="H1167" s="2"/>
    </row>
    <row r="1168" spans="1:8" hidden="1" x14ac:dyDescent="0.25">
      <c r="A1168">
        <v>2023</v>
      </c>
      <c r="B1168" t="s">
        <v>9</v>
      </c>
      <c r="C1168">
        <v>2021</v>
      </c>
      <c r="D1168">
        <v>968.88</v>
      </c>
      <c r="E1168">
        <v>21</v>
      </c>
      <c r="F1168">
        <v>808841.79</v>
      </c>
      <c r="G1168">
        <v>753.28</v>
      </c>
      <c r="H1168" s="2"/>
    </row>
    <row r="1169" spans="1:8" hidden="1" x14ac:dyDescent="0.25">
      <c r="A1169">
        <v>2023</v>
      </c>
      <c r="B1169" t="s">
        <v>9</v>
      </c>
      <c r="C1169">
        <v>2022</v>
      </c>
      <c r="D1169">
        <v>1050.3499999999999</v>
      </c>
      <c r="E1169">
        <v>22</v>
      </c>
      <c r="F1169">
        <v>771455</v>
      </c>
      <c r="G1169">
        <v>753.9</v>
      </c>
      <c r="H1169" s="2"/>
    </row>
    <row r="1170" spans="1:8" hidden="1" x14ac:dyDescent="0.25">
      <c r="A1170">
        <v>2023</v>
      </c>
      <c r="B1170" t="s">
        <v>9</v>
      </c>
      <c r="C1170">
        <v>2023</v>
      </c>
      <c r="D1170">
        <v>467.63</v>
      </c>
      <c r="E1170">
        <v>7</v>
      </c>
      <c r="F1170">
        <v>796655</v>
      </c>
      <c r="G1170">
        <v>761.71</v>
      </c>
      <c r="H1170" s="2"/>
    </row>
    <row r="1171" spans="1:8" hidden="1" x14ac:dyDescent="0.25">
      <c r="A1171">
        <v>2023</v>
      </c>
      <c r="B1171" t="s">
        <v>9</v>
      </c>
      <c r="C1171">
        <v>2024</v>
      </c>
      <c r="D1171">
        <v>0</v>
      </c>
      <c r="E1171">
        <v>0</v>
      </c>
      <c r="F1171">
        <v>845469.34</v>
      </c>
      <c r="G1171">
        <v>770.68</v>
      </c>
      <c r="H1171" s="2"/>
    </row>
    <row r="1172" spans="1:8" hidden="1" x14ac:dyDescent="0.25">
      <c r="A1172">
        <v>2023</v>
      </c>
      <c r="B1172" t="s">
        <v>10</v>
      </c>
      <c r="C1172">
        <v>2019</v>
      </c>
      <c r="D1172">
        <v>185.53</v>
      </c>
      <c r="E1172">
        <v>5</v>
      </c>
      <c r="F1172">
        <v>803815.51</v>
      </c>
      <c r="G1172">
        <v>398.09</v>
      </c>
      <c r="H1172" s="2">
        <f t="shared" ref="H1172" si="193">SUM(E1172:E1177)</f>
        <v>96</v>
      </c>
    </row>
    <row r="1173" spans="1:8" hidden="1" x14ac:dyDescent="0.25">
      <c r="A1173">
        <v>2023</v>
      </c>
      <c r="B1173" t="s">
        <v>10</v>
      </c>
      <c r="C1173">
        <v>2020</v>
      </c>
      <c r="D1173">
        <v>1453.69</v>
      </c>
      <c r="E1173">
        <v>36</v>
      </c>
      <c r="F1173">
        <v>774767.7</v>
      </c>
      <c r="G1173">
        <v>391.77</v>
      </c>
      <c r="H1173" s="2"/>
    </row>
    <row r="1174" spans="1:8" hidden="1" x14ac:dyDescent="0.25">
      <c r="A1174">
        <v>2023</v>
      </c>
      <c r="B1174" t="s">
        <v>10</v>
      </c>
      <c r="C1174">
        <v>2021</v>
      </c>
      <c r="D1174">
        <v>418.32</v>
      </c>
      <c r="E1174">
        <v>7</v>
      </c>
      <c r="F1174">
        <v>799457.9</v>
      </c>
      <c r="G1174">
        <v>399.51</v>
      </c>
      <c r="H1174" s="2"/>
    </row>
    <row r="1175" spans="1:8" hidden="1" x14ac:dyDescent="0.25">
      <c r="A1175">
        <v>2023</v>
      </c>
      <c r="B1175" t="s">
        <v>10</v>
      </c>
      <c r="C1175">
        <v>2022</v>
      </c>
      <c r="D1175">
        <v>651.97</v>
      </c>
      <c r="E1175">
        <v>13</v>
      </c>
      <c r="F1175">
        <v>766860.77</v>
      </c>
      <c r="G1175">
        <v>395.2</v>
      </c>
      <c r="H1175" s="2"/>
    </row>
    <row r="1176" spans="1:8" hidden="1" x14ac:dyDescent="0.25">
      <c r="A1176">
        <v>2023</v>
      </c>
      <c r="B1176" t="s">
        <v>10</v>
      </c>
      <c r="C1176">
        <v>2023</v>
      </c>
      <c r="D1176">
        <v>1034.04</v>
      </c>
      <c r="E1176">
        <v>18</v>
      </c>
      <c r="F1176">
        <v>801022.84</v>
      </c>
      <c r="G1176">
        <v>397.43</v>
      </c>
      <c r="H1176" s="2"/>
    </row>
    <row r="1177" spans="1:8" hidden="1" x14ac:dyDescent="0.25">
      <c r="A1177">
        <v>2023</v>
      </c>
      <c r="B1177" t="s">
        <v>10</v>
      </c>
      <c r="C1177">
        <v>2024</v>
      </c>
      <c r="D1177">
        <v>588.84</v>
      </c>
      <c r="E1177">
        <v>17</v>
      </c>
      <c r="F1177">
        <v>798183.52</v>
      </c>
      <c r="G1177">
        <v>396.47</v>
      </c>
      <c r="H1177" s="2"/>
    </row>
    <row r="1178" spans="1:8" hidden="1" x14ac:dyDescent="0.25">
      <c r="A1178">
        <v>2023</v>
      </c>
      <c r="B1178" t="s">
        <v>11</v>
      </c>
      <c r="C1178">
        <v>2019</v>
      </c>
      <c r="D1178">
        <v>537.19000000000005</v>
      </c>
      <c r="E1178">
        <v>16</v>
      </c>
      <c r="F1178">
        <v>761217.37</v>
      </c>
      <c r="G1178">
        <v>364.18</v>
      </c>
      <c r="H1178" s="2">
        <f t="shared" ref="H1178" si="194">SUM(E1178:E1183)</f>
        <v>122</v>
      </c>
    </row>
    <row r="1179" spans="1:8" hidden="1" x14ac:dyDescent="0.25">
      <c r="A1179">
        <v>2023</v>
      </c>
      <c r="B1179" t="s">
        <v>11</v>
      </c>
      <c r="C1179">
        <v>2020</v>
      </c>
      <c r="D1179">
        <v>1951.34</v>
      </c>
      <c r="E1179">
        <v>41</v>
      </c>
      <c r="F1179">
        <v>729237.19</v>
      </c>
      <c r="G1179">
        <v>358.19</v>
      </c>
      <c r="H1179" s="2"/>
    </row>
    <row r="1180" spans="1:8" hidden="1" x14ac:dyDescent="0.25">
      <c r="A1180">
        <v>2023</v>
      </c>
      <c r="B1180" t="s">
        <v>11</v>
      </c>
      <c r="C1180">
        <v>2021</v>
      </c>
      <c r="D1180">
        <v>529.32000000000005</v>
      </c>
      <c r="E1180">
        <v>12</v>
      </c>
      <c r="F1180">
        <v>752653.15</v>
      </c>
      <c r="G1180">
        <v>363.72</v>
      </c>
      <c r="H1180" s="2"/>
    </row>
    <row r="1181" spans="1:8" hidden="1" x14ac:dyDescent="0.25">
      <c r="A1181">
        <v>2023</v>
      </c>
      <c r="B1181" t="s">
        <v>11</v>
      </c>
      <c r="C1181">
        <v>2022</v>
      </c>
      <c r="D1181">
        <v>852.66</v>
      </c>
      <c r="E1181">
        <v>15</v>
      </c>
      <c r="F1181">
        <v>720820.77</v>
      </c>
      <c r="G1181">
        <v>359.29</v>
      </c>
      <c r="H1181" s="2"/>
    </row>
    <row r="1182" spans="1:8" hidden="1" x14ac:dyDescent="0.25">
      <c r="A1182">
        <v>2023</v>
      </c>
      <c r="B1182" t="s">
        <v>11</v>
      </c>
      <c r="C1182">
        <v>2023</v>
      </c>
      <c r="D1182">
        <v>884.08</v>
      </c>
      <c r="E1182">
        <v>14</v>
      </c>
      <c r="F1182">
        <v>753031.55</v>
      </c>
      <c r="G1182">
        <v>361.81</v>
      </c>
      <c r="H1182" s="2"/>
    </row>
    <row r="1183" spans="1:8" hidden="1" x14ac:dyDescent="0.25">
      <c r="A1183">
        <v>2023</v>
      </c>
      <c r="B1183" t="s">
        <v>11</v>
      </c>
      <c r="C1183">
        <v>2024</v>
      </c>
      <c r="D1183">
        <v>936.33</v>
      </c>
      <c r="E1183">
        <v>24</v>
      </c>
      <c r="F1183">
        <v>754977.71</v>
      </c>
      <c r="G1183">
        <v>362.63</v>
      </c>
      <c r="H1183" s="2"/>
    </row>
    <row r="1184" spans="1:8" hidden="1" x14ac:dyDescent="0.25">
      <c r="A1184">
        <v>2023</v>
      </c>
      <c r="B1184" t="s">
        <v>12</v>
      </c>
      <c r="C1184">
        <v>2019</v>
      </c>
      <c r="D1184">
        <v>778.3</v>
      </c>
      <c r="E1184">
        <v>18</v>
      </c>
      <c r="F1184">
        <v>629866.86</v>
      </c>
      <c r="G1184">
        <v>503.21</v>
      </c>
      <c r="H1184" s="2">
        <f t="shared" ref="H1184" si="195">SUM(E1184:E1189)</f>
        <v>95</v>
      </c>
    </row>
    <row r="1185" spans="1:8" hidden="1" x14ac:dyDescent="0.25">
      <c r="A1185">
        <v>2023</v>
      </c>
      <c r="B1185" t="s">
        <v>12</v>
      </c>
      <c r="C1185">
        <v>2020</v>
      </c>
      <c r="D1185">
        <v>1483.33</v>
      </c>
      <c r="E1185">
        <v>37</v>
      </c>
      <c r="F1185">
        <v>608535.18999999994</v>
      </c>
      <c r="G1185">
        <v>493.25</v>
      </c>
      <c r="H1185" s="2"/>
    </row>
    <row r="1186" spans="1:8" hidden="1" x14ac:dyDescent="0.25">
      <c r="A1186">
        <v>2023</v>
      </c>
      <c r="B1186" t="s">
        <v>12</v>
      </c>
      <c r="C1186">
        <v>2021</v>
      </c>
      <c r="D1186">
        <v>116.9</v>
      </c>
      <c r="E1186">
        <v>4</v>
      </c>
      <c r="F1186">
        <v>619818.81999999995</v>
      </c>
      <c r="G1186">
        <v>498.12</v>
      </c>
      <c r="H1186" s="2"/>
    </row>
    <row r="1187" spans="1:8" hidden="1" x14ac:dyDescent="0.25">
      <c r="A1187">
        <v>2023</v>
      </c>
      <c r="B1187" t="s">
        <v>12</v>
      </c>
      <c r="C1187">
        <v>2022</v>
      </c>
      <c r="D1187">
        <v>388.24</v>
      </c>
      <c r="E1187">
        <v>9</v>
      </c>
      <c r="F1187">
        <v>590530.25</v>
      </c>
      <c r="G1187">
        <v>494.66</v>
      </c>
      <c r="H1187" s="2"/>
    </row>
    <row r="1188" spans="1:8" hidden="1" x14ac:dyDescent="0.25">
      <c r="A1188">
        <v>2023</v>
      </c>
      <c r="B1188" t="s">
        <v>12</v>
      </c>
      <c r="C1188">
        <v>2023</v>
      </c>
      <c r="D1188">
        <v>243.38</v>
      </c>
      <c r="E1188">
        <v>5</v>
      </c>
      <c r="F1188">
        <v>623074.53</v>
      </c>
      <c r="G1188">
        <v>500.53</v>
      </c>
      <c r="H1188" s="2"/>
    </row>
    <row r="1189" spans="1:8" hidden="1" x14ac:dyDescent="0.25">
      <c r="A1189">
        <v>2023</v>
      </c>
      <c r="B1189" t="s">
        <v>12</v>
      </c>
      <c r="C1189">
        <v>2024</v>
      </c>
      <c r="D1189">
        <v>1018.65</v>
      </c>
      <c r="E1189">
        <v>22</v>
      </c>
      <c r="F1189">
        <v>620944.23</v>
      </c>
      <c r="G1189">
        <v>499.06</v>
      </c>
      <c r="H1189" s="2"/>
    </row>
    <row r="1190" spans="1:8" hidden="1" x14ac:dyDescent="0.25">
      <c r="A1190">
        <v>2023</v>
      </c>
      <c r="B1190" t="s">
        <v>13</v>
      </c>
      <c r="C1190">
        <v>2019</v>
      </c>
      <c r="D1190">
        <v>535.35</v>
      </c>
      <c r="E1190">
        <v>15</v>
      </c>
      <c r="F1190">
        <v>691448.38</v>
      </c>
      <c r="G1190">
        <v>497.83</v>
      </c>
      <c r="H1190" s="2">
        <f t="shared" ref="H1190" si="196">SUM(E1190:E1195)</f>
        <v>83</v>
      </c>
    </row>
    <row r="1191" spans="1:8" hidden="1" x14ac:dyDescent="0.25">
      <c r="A1191">
        <v>2023</v>
      </c>
      <c r="B1191" t="s">
        <v>13</v>
      </c>
      <c r="C1191">
        <v>2020</v>
      </c>
      <c r="D1191">
        <v>598.66</v>
      </c>
      <c r="E1191">
        <v>14</v>
      </c>
      <c r="F1191">
        <v>676526.75</v>
      </c>
      <c r="G1191">
        <v>489.91</v>
      </c>
      <c r="H1191" s="2"/>
    </row>
    <row r="1192" spans="1:8" hidden="1" x14ac:dyDescent="0.25">
      <c r="A1192">
        <v>2023</v>
      </c>
      <c r="B1192" t="s">
        <v>13</v>
      </c>
      <c r="C1192">
        <v>2021</v>
      </c>
      <c r="D1192">
        <v>355.58</v>
      </c>
      <c r="E1192">
        <v>11</v>
      </c>
      <c r="F1192">
        <v>684604.41</v>
      </c>
      <c r="G1192">
        <v>494.5</v>
      </c>
      <c r="H1192" s="2"/>
    </row>
    <row r="1193" spans="1:8" hidden="1" x14ac:dyDescent="0.25">
      <c r="A1193">
        <v>2023</v>
      </c>
      <c r="B1193" t="s">
        <v>13</v>
      </c>
      <c r="C1193">
        <v>2022</v>
      </c>
      <c r="D1193">
        <v>604.99</v>
      </c>
      <c r="E1193">
        <v>13</v>
      </c>
      <c r="F1193">
        <v>646997.99</v>
      </c>
      <c r="G1193">
        <v>493.23</v>
      </c>
      <c r="H1193" s="2"/>
    </row>
    <row r="1194" spans="1:8" hidden="1" x14ac:dyDescent="0.25">
      <c r="A1194">
        <v>2023</v>
      </c>
      <c r="B1194" t="s">
        <v>13</v>
      </c>
      <c r="C1194">
        <v>2023</v>
      </c>
      <c r="D1194">
        <v>66.290000000000006</v>
      </c>
      <c r="E1194">
        <v>3</v>
      </c>
      <c r="F1194">
        <v>683612.59</v>
      </c>
      <c r="G1194">
        <v>498.83</v>
      </c>
      <c r="H1194" s="2"/>
    </row>
    <row r="1195" spans="1:8" hidden="1" x14ac:dyDescent="0.25">
      <c r="A1195">
        <v>2023</v>
      </c>
      <c r="B1195" t="s">
        <v>13</v>
      </c>
      <c r="C1195">
        <v>2024</v>
      </c>
      <c r="D1195">
        <v>1226.3599999999999</v>
      </c>
      <c r="E1195">
        <v>27</v>
      </c>
      <c r="F1195">
        <v>676021.54</v>
      </c>
      <c r="G1195">
        <v>492.08</v>
      </c>
      <c r="H1195" s="2"/>
    </row>
    <row r="1196" spans="1:8" hidden="1" x14ac:dyDescent="0.25">
      <c r="A1196">
        <v>2023</v>
      </c>
      <c r="B1196" t="s">
        <v>14</v>
      </c>
      <c r="C1196">
        <v>2019</v>
      </c>
      <c r="D1196">
        <v>544.11</v>
      </c>
      <c r="E1196">
        <v>13</v>
      </c>
      <c r="F1196">
        <v>753839.33</v>
      </c>
      <c r="G1196">
        <v>393.99</v>
      </c>
      <c r="H1196" s="2">
        <f t="shared" ref="H1196" si="197">SUM(E1196:E1201)</f>
        <v>82</v>
      </c>
    </row>
    <row r="1197" spans="1:8" hidden="1" x14ac:dyDescent="0.25">
      <c r="A1197">
        <v>2023</v>
      </c>
      <c r="B1197" t="s">
        <v>14</v>
      </c>
      <c r="C1197">
        <v>2020</v>
      </c>
      <c r="D1197">
        <v>510.4</v>
      </c>
      <c r="E1197">
        <v>12</v>
      </c>
      <c r="F1197">
        <v>727468.58</v>
      </c>
      <c r="G1197">
        <v>391.02</v>
      </c>
      <c r="H1197" s="2"/>
    </row>
    <row r="1198" spans="1:8" hidden="1" x14ac:dyDescent="0.25">
      <c r="A1198">
        <v>2023</v>
      </c>
      <c r="B1198" t="s">
        <v>14</v>
      </c>
      <c r="C1198">
        <v>2021</v>
      </c>
      <c r="D1198">
        <v>270.58999999999997</v>
      </c>
      <c r="E1198">
        <v>9</v>
      </c>
      <c r="F1198">
        <v>740286.04</v>
      </c>
      <c r="G1198">
        <v>390.31</v>
      </c>
      <c r="H1198" s="2"/>
    </row>
    <row r="1199" spans="1:8" hidden="1" x14ac:dyDescent="0.25">
      <c r="A1199">
        <v>2023</v>
      </c>
      <c r="B1199" t="s">
        <v>14</v>
      </c>
      <c r="C1199">
        <v>2022</v>
      </c>
      <c r="D1199">
        <v>414.43</v>
      </c>
      <c r="E1199">
        <v>7</v>
      </c>
      <c r="F1199">
        <v>715064.1</v>
      </c>
      <c r="G1199">
        <v>391.01</v>
      </c>
      <c r="H1199" s="2"/>
    </row>
    <row r="1200" spans="1:8" hidden="1" x14ac:dyDescent="0.25">
      <c r="A1200">
        <v>2023</v>
      </c>
      <c r="B1200" t="s">
        <v>14</v>
      </c>
      <c r="C1200">
        <v>2023</v>
      </c>
      <c r="D1200">
        <v>612.58000000000004</v>
      </c>
      <c r="E1200">
        <v>10</v>
      </c>
      <c r="F1200">
        <v>733146.36</v>
      </c>
      <c r="G1200">
        <v>392.35</v>
      </c>
      <c r="H1200" s="2"/>
    </row>
    <row r="1201" spans="1:8" hidden="1" x14ac:dyDescent="0.25">
      <c r="A1201">
        <v>2023</v>
      </c>
      <c r="B1201" t="s">
        <v>14</v>
      </c>
      <c r="C1201">
        <v>2024</v>
      </c>
      <c r="D1201">
        <v>1305.22</v>
      </c>
      <c r="E1201">
        <v>31</v>
      </c>
      <c r="F1201">
        <v>739151.96</v>
      </c>
      <c r="G1201">
        <v>390.32</v>
      </c>
      <c r="H1201" s="2"/>
    </row>
    <row r="1202" spans="1:8" hidden="1" x14ac:dyDescent="0.25">
      <c r="A1202">
        <v>2023</v>
      </c>
      <c r="B1202" t="s">
        <v>15</v>
      </c>
      <c r="C1202">
        <v>2019</v>
      </c>
      <c r="D1202">
        <v>905.46</v>
      </c>
      <c r="E1202">
        <v>18</v>
      </c>
      <c r="F1202">
        <v>631583.09</v>
      </c>
      <c r="G1202">
        <v>451.48</v>
      </c>
      <c r="H1202" s="2">
        <f t="shared" ref="H1202" si="198">SUM(E1202:E1207)</f>
        <v>126</v>
      </c>
    </row>
    <row r="1203" spans="1:8" hidden="1" x14ac:dyDescent="0.25">
      <c r="A1203">
        <v>2023</v>
      </c>
      <c r="B1203" t="s">
        <v>15</v>
      </c>
      <c r="C1203">
        <v>2020</v>
      </c>
      <c r="D1203">
        <v>1205.6500000000001</v>
      </c>
      <c r="E1203">
        <v>26</v>
      </c>
      <c r="F1203">
        <v>611502.22</v>
      </c>
      <c r="G1203">
        <v>444.15</v>
      </c>
      <c r="H1203" s="2"/>
    </row>
    <row r="1204" spans="1:8" hidden="1" x14ac:dyDescent="0.25">
      <c r="A1204">
        <v>2023</v>
      </c>
      <c r="B1204" t="s">
        <v>15</v>
      </c>
      <c r="C1204">
        <v>2021</v>
      </c>
      <c r="D1204">
        <v>920.99</v>
      </c>
      <c r="E1204">
        <v>21</v>
      </c>
      <c r="F1204">
        <v>620972.27</v>
      </c>
      <c r="G1204">
        <v>443.68</v>
      </c>
      <c r="H1204" s="2"/>
    </row>
    <row r="1205" spans="1:8" hidden="1" x14ac:dyDescent="0.25">
      <c r="A1205">
        <v>2023</v>
      </c>
      <c r="B1205" t="s">
        <v>15</v>
      </c>
      <c r="C1205">
        <v>2022</v>
      </c>
      <c r="D1205">
        <v>748.81</v>
      </c>
      <c r="E1205">
        <v>13</v>
      </c>
      <c r="F1205">
        <v>601366.27</v>
      </c>
      <c r="G1205">
        <v>444.11</v>
      </c>
      <c r="H1205" s="2"/>
    </row>
    <row r="1206" spans="1:8" hidden="1" x14ac:dyDescent="0.25">
      <c r="A1206">
        <v>2023</v>
      </c>
      <c r="B1206" t="s">
        <v>15</v>
      </c>
      <c r="C1206">
        <v>2023</v>
      </c>
      <c r="D1206">
        <v>840.36</v>
      </c>
      <c r="E1206">
        <v>13</v>
      </c>
      <c r="F1206">
        <v>614269.72</v>
      </c>
      <c r="G1206">
        <v>449.05</v>
      </c>
      <c r="H1206" s="2"/>
    </row>
    <row r="1207" spans="1:8" hidden="1" x14ac:dyDescent="0.25">
      <c r="A1207">
        <v>2023</v>
      </c>
      <c r="B1207" t="s">
        <v>15</v>
      </c>
      <c r="C1207">
        <v>2024</v>
      </c>
      <c r="D1207">
        <v>1655.22</v>
      </c>
      <c r="E1207">
        <v>35</v>
      </c>
      <c r="F1207">
        <v>618650.22</v>
      </c>
      <c r="G1207">
        <v>447.34</v>
      </c>
      <c r="H1207" s="2"/>
    </row>
    <row r="1208" spans="1:8" hidden="1" x14ac:dyDescent="0.25">
      <c r="A1208">
        <v>2023</v>
      </c>
      <c r="B1208" t="s">
        <v>16</v>
      </c>
      <c r="C1208">
        <v>2019</v>
      </c>
      <c r="D1208">
        <v>1155.05</v>
      </c>
      <c r="E1208">
        <v>29</v>
      </c>
      <c r="F1208">
        <v>740804.86</v>
      </c>
      <c r="G1208">
        <v>442.18</v>
      </c>
      <c r="H1208" s="2">
        <f t="shared" ref="H1208" si="199">SUM(E1208:E1213)</f>
        <v>135</v>
      </c>
    </row>
    <row r="1209" spans="1:8" hidden="1" x14ac:dyDescent="0.25">
      <c r="A1209">
        <v>2023</v>
      </c>
      <c r="B1209" t="s">
        <v>16</v>
      </c>
      <c r="C1209">
        <v>2020</v>
      </c>
      <c r="D1209">
        <v>1051.21</v>
      </c>
      <c r="E1209">
        <v>19</v>
      </c>
      <c r="F1209">
        <v>726382.3</v>
      </c>
      <c r="G1209">
        <v>444.63</v>
      </c>
      <c r="H1209" s="2"/>
    </row>
    <row r="1210" spans="1:8" hidden="1" x14ac:dyDescent="0.25">
      <c r="A1210">
        <v>2023</v>
      </c>
      <c r="B1210" t="s">
        <v>16</v>
      </c>
      <c r="C1210">
        <v>2021</v>
      </c>
      <c r="D1210">
        <v>720.2</v>
      </c>
      <c r="E1210">
        <v>16</v>
      </c>
      <c r="F1210">
        <v>730470.9</v>
      </c>
      <c r="G1210">
        <v>437.4</v>
      </c>
      <c r="H1210" s="2"/>
    </row>
    <row r="1211" spans="1:8" hidden="1" x14ac:dyDescent="0.25">
      <c r="A1211">
        <v>2023</v>
      </c>
      <c r="B1211" t="s">
        <v>16</v>
      </c>
      <c r="C1211">
        <v>2022</v>
      </c>
      <c r="D1211">
        <v>893.28</v>
      </c>
      <c r="E1211">
        <v>20</v>
      </c>
      <c r="F1211">
        <v>698015.22</v>
      </c>
      <c r="G1211">
        <v>436.47</v>
      </c>
      <c r="H1211" s="2"/>
    </row>
    <row r="1212" spans="1:8" hidden="1" x14ac:dyDescent="0.25">
      <c r="A1212">
        <v>2023</v>
      </c>
      <c r="B1212" t="s">
        <v>16</v>
      </c>
      <c r="C1212">
        <v>2023</v>
      </c>
      <c r="D1212">
        <v>315.31</v>
      </c>
      <c r="E1212">
        <v>8</v>
      </c>
      <c r="F1212">
        <v>721347.94</v>
      </c>
      <c r="G1212">
        <v>442.97</v>
      </c>
      <c r="H1212" s="2"/>
    </row>
    <row r="1213" spans="1:8" hidden="1" x14ac:dyDescent="0.25">
      <c r="A1213">
        <v>2023</v>
      </c>
      <c r="B1213" t="s">
        <v>16</v>
      </c>
      <c r="C1213">
        <v>2024</v>
      </c>
      <c r="D1213">
        <v>1888.59</v>
      </c>
      <c r="E1213">
        <v>43</v>
      </c>
      <c r="F1213">
        <v>726823.89</v>
      </c>
      <c r="G1213">
        <v>438.24</v>
      </c>
      <c r="H1213" s="2"/>
    </row>
    <row r="1214" spans="1:8" hidden="1" x14ac:dyDescent="0.25">
      <c r="A1214">
        <v>2023</v>
      </c>
      <c r="B1214" t="s">
        <v>17</v>
      </c>
      <c r="C1214">
        <v>2019</v>
      </c>
      <c r="D1214">
        <v>1269.18</v>
      </c>
      <c r="E1214">
        <v>31</v>
      </c>
      <c r="F1214">
        <v>741182.08</v>
      </c>
      <c r="G1214">
        <v>442.03</v>
      </c>
      <c r="H1214" s="2">
        <f t="shared" ref="H1214" si="200">SUM(E1214:E1219)</f>
        <v>138</v>
      </c>
    </row>
    <row r="1215" spans="1:8" hidden="1" x14ac:dyDescent="0.25">
      <c r="A1215">
        <v>2023</v>
      </c>
      <c r="B1215" t="s">
        <v>17</v>
      </c>
      <c r="C1215">
        <v>2020</v>
      </c>
      <c r="D1215">
        <v>1097.53</v>
      </c>
      <c r="E1215">
        <v>20</v>
      </c>
      <c r="F1215">
        <v>726661.75</v>
      </c>
      <c r="G1215">
        <v>443.78</v>
      </c>
      <c r="H1215" s="2"/>
    </row>
    <row r="1216" spans="1:8" hidden="1" x14ac:dyDescent="0.25">
      <c r="A1216">
        <v>2023</v>
      </c>
      <c r="B1216" t="s">
        <v>17</v>
      </c>
      <c r="C1216">
        <v>2021</v>
      </c>
      <c r="D1216">
        <v>698.92</v>
      </c>
      <c r="E1216">
        <v>17</v>
      </c>
      <c r="F1216">
        <v>730541.99</v>
      </c>
      <c r="G1216">
        <v>436.64</v>
      </c>
      <c r="H1216" s="2"/>
    </row>
    <row r="1217" spans="1:8" hidden="1" x14ac:dyDescent="0.25">
      <c r="A1217">
        <v>2023</v>
      </c>
      <c r="B1217" t="s">
        <v>17</v>
      </c>
      <c r="C1217">
        <v>2022</v>
      </c>
      <c r="D1217">
        <v>952.94</v>
      </c>
      <c r="E1217">
        <v>22</v>
      </c>
      <c r="F1217">
        <v>698949.4</v>
      </c>
      <c r="G1217">
        <v>435.87</v>
      </c>
      <c r="H1217" s="2"/>
    </row>
    <row r="1218" spans="1:8" hidden="1" x14ac:dyDescent="0.25">
      <c r="A1218">
        <v>2023</v>
      </c>
      <c r="B1218" t="s">
        <v>17</v>
      </c>
      <c r="C1218">
        <v>2023</v>
      </c>
      <c r="D1218">
        <v>266.98</v>
      </c>
      <c r="E1218">
        <v>6</v>
      </c>
      <c r="F1218">
        <v>721570.56</v>
      </c>
      <c r="G1218">
        <v>442.58</v>
      </c>
      <c r="H1218" s="2"/>
    </row>
    <row r="1219" spans="1:8" hidden="1" x14ac:dyDescent="0.25">
      <c r="A1219">
        <v>2023</v>
      </c>
      <c r="B1219" t="s">
        <v>17</v>
      </c>
      <c r="C1219">
        <v>2024</v>
      </c>
      <c r="D1219">
        <v>1801.16</v>
      </c>
      <c r="E1219">
        <v>42</v>
      </c>
      <c r="F1219">
        <v>727570.39</v>
      </c>
      <c r="G1219">
        <v>438.15</v>
      </c>
      <c r="H1219" s="2"/>
    </row>
    <row r="1220" spans="1:8" hidden="1" x14ac:dyDescent="0.25">
      <c r="A1220">
        <v>2023</v>
      </c>
      <c r="B1220" t="s">
        <v>18</v>
      </c>
      <c r="C1220">
        <v>2019</v>
      </c>
      <c r="D1220">
        <v>478.79</v>
      </c>
      <c r="E1220">
        <v>15</v>
      </c>
      <c r="F1220">
        <v>635649.09</v>
      </c>
      <c r="G1220">
        <v>345.93</v>
      </c>
      <c r="H1220" s="2">
        <f t="shared" ref="H1220" si="201">SUM(E1220:E1225)</f>
        <v>91</v>
      </c>
    </row>
    <row r="1221" spans="1:8" hidden="1" x14ac:dyDescent="0.25">
      <c r="A1221">
        <v>2023</v>
      </c>
      <c r="B1221" t="s">
        <v>18</v>
      </c>
      <c r="C1221">
        <v>2020</v>
      </c>
      <c r="D1221">
        <v>240.45</v>
      </c>
      <c r="E1221">
        <v>8</v>
      </c>
      <c r="F1221">
        <v>614590.68999999994</v>
      </c>
      <c r="G1221">
        <v>344.78</v>
      </c>
      <c r="H1221" s="2"/>
    </row>
    <row r="1222" spans="1:8" hidden="1" x14ac:dyDescent="0.25">
      <c r="A1222">
        <v>2023</v>
      </c>
      <c r="B1222" t="s">
        <v>18</v>
      </c>
      <c r="C1222">
        <v>2021</v>
      </c>
      <c r="D1222">
        <v>1159.47</v>
      </c>
      <c r="E1222">
        <v>18</v>
      </c>
      <c r="F1222">
        <v>608035.53</v>
      </c>
      <c r="G1222">
        <v>342.49</v>
      </c>
      <c r="H1222" s="2"/>
    </row>
    <row r="1223" spans="1:8" hidden="1" x14ac:dyDescent="0.25">
      <c r="A1223">
        <v>2023</v>
      </c>
      <c r="B1223" t="s">
        <v>18</v>
      </c>
      <c r="C1223">
        <v>2022</v>
      </c>
      <c r="D1223">
        <v>1758.63</v>
      </c>
      <c r="E1223">
        <v>28</v>
      </c>
      <c r="F1223">
        <v>605909.24</v>
      </c>
      <c r="G1223">
        <v>340.3</v>
      </c>
      <c r="H1223" s="2"/>
    </row>
    <row r="1224" spans="1:8" hidden="1" x14ac:dyDescent="0.25">
      <c r="A1224">
        <v>2023</v>
      </c>
      <c r="B1224" t="s">
        <v>18</v>
      </c>
      <c r="C1224">
        <v>2023</v>
      </c>
      <c r="D1224">
        <v>167.49</v>
      </c>
      <c r="E1224">
        <v>6</v>
      </c>
      <c r="F1224">
        <v>616438.27</v>
      </c>
      <c r="G1224">
        <v>344.83</v>
      </c>
      <c r="H1224" s="2"/>
    </row>
    <row r="1225" spans="1:8" hidden="1" x14ac:dyDescent="0.25">
      <c r="A1225">
        <v>2023</v>
      </c>
      <c r="B1225" t="s">
        <v>18</v>
      </c>
      <c r="C1225">
        <v>2024</v>
      </c>
      <c r="D1225">
        <v>575.29</v>
      </c>
      <c r="E1225">
        <v>16</v>
      </c>
      <c r="F1225">
        <v>593440.68000000005</v>
      </c>
      <c r="G1225">
        <v>338.61</v>
      </c>
      <c r="H1225" s="2"/>
    </row>
    <row r="1226" spans="1:8" hidden="1" x14ac:dyDescent="0.25">
      <c r="A1226">
        <v>2023</v>
      </c>
      <c r="B1226" t="s">
        <v>19</v>
      </c>
      <c r="C1226">
        <v>2019</v>
      </c>
      <c r="D1226">
        <v>645.37</v>
      </c>
      <c r="E1226">
        <v>23</v>
      </c>
      <c r="F1226">
        <v>671254.13</v>
      </c>
      <c r="G1226">
        <v>317.55</v>
      </c>
      <c r="H1226" s="2">
        <f t="shared" ref="H1226" si="202">SUM(E1226:E1231)</f>
        <v>134</v>
      </c>
    </row>
    <row r="1227" spans="1:8" hidden="1" x14ac:dyDescent="0.25">
      <c r="A1227">
        <v>2023</v>
      </c>
      <c r="B1227" t="s">
        <v>19</v>
      </c>
      <c r="C1227">
        <v>2020</v>
      </c>
      <c r="D1227">
        <v>461.18</v>
      </c>
      <c r="E1227">
        <v>21</v>
      </c>
      <c r="F1227">
        <v>649044.89</v>
      </c>
      <c r="G1227">
        <v>316.38</v>
      </c>
      <c r="H1227" s="2"/>
    </row>
    <row r="1228" spans="1:8" hidden="1" x14ac:dyDescent="0.25">
      <c r="A1228">
        <v>2023</v>
      </c>
      <c r="B1228" t="s">
        <v>19</v>
      </c>
      <c r="C1228">
        <v>2021</v>
      </c>
      <c r="D1228">
        <v>550.34</v>
      </c>
      <c r="E1228">
        <v>16</v>
      </c>
      <c r="F1228">
        <v>646414.82999999996</v>
      </c>
      <c r="G1228">
        <v>316.39</v>
      </c>
      <c r="H1228" s="2"/>
    </row>
    <row r="1229" spans="1:8" hidden="1" x14ac:dyDescent="0.25">
      <c r="A1229">
        <v>2023</v>
      </c>
      <c r="B1229" t="s">
        <v>19</v>
      </c>
      <c r="C1229">
        <v>2022</v>
      </c>
      <c r="D1229">
        <v>1698.7</v>
      </c>
      <c r="E1229">
        <v>44</v>
      </c>
      <c r="F1229">
        <v>633469.94999999995</v>
      </c>
      <c r="G1229">
        <v>314.55</v>
      </c>
      <c r="H1229" s="2"/>
    </row>
    <row r="1230" spans="1:8" hidden="1" x14ac:dyDescent="0.25">
      <c r="A1230">
        <v>2023</v>
      </c>
      <c r="B1230" t="s">
        <v>19</v>
      </c>
      <c r="C1230">
        <v>2023</v>
      </c>
      <c r="D1230">
        <v>174</v>
      </c>
      <c r="E1230">
        <v>5</v>
      </c>
      <c r="F1230">
        <v>651713.24</v>
      </c>
      <c r="G1230">
        <v>318.72000000000003</v>
      </c>
      <c r="H1230" s="2"/>
    </row>
    <row r="1231" spans="1:8" hidden="1" x14ac:dyDescent="0.25">
      <c r="A1231">
        <v>2023</v>
      </c>
      <c r="B1231" t="s">
        <v>19</v>
      </c>
      <c r="C1231">
        <v>2024</v>
      </c>
      <c r="D1231">
        <v>824.38</v>
      </c>
      <c r="E1231">
        <v>25</v>
      </c>
      <c r="F1231">
        <v>619495.54</v>
      </c>
      <c r="G1231">
        <v>311.19</v>
      </c>
      <c r="H1231" s="2"/>
    </row>
    <row r="1232" spans="1:8" hidden="1" x14ac:dyDescent="0.25">
      <c r="A1232">
        <v>2023</v>
      </c>
      <c r="B1232" t="s">
        <v>20</v>
      </c>
      <c r="C1232">
        <v>2019</v>
      </c>
      <c r="D1232">
        <v>928.34</v>
      </c>
      <c r="E1232">
        <v>32</v>
      </c>
      <c r="F1232">
        <v>690502.1</v>
      </c>
      <c r="G1232">
        <v>252.3</v>
      </c>
      <c r="H1232" s="2">
        <f t="shared" ref="H1232" si="203">SUM(E1232:E1237)</f>
        <v>133</v>
      </c>
    </row>
    <row r="1233" spans="1:8" hidden="1" x14ac:dyDescent="0.25">
      <c r="A1233">
        <v>2023</v>
      </c>
      <c r="B1233" t="s">
        <v>20</v>
      </c>
      <c r="C1233">
        <v>2020</v>
      </c>
      <c r="D1233">
        <v>309.85000000000002</v>
      </c>
      <c r="E1233">
        <v>15</v>
      </c>
      <c r="F1233">
        <v>680502.45</v>
      </c>
      <c r="G1233">
        <v>253.01</v>
      </c>
      <c r="H1233" s="2"/>
    </row>
    <row r="1234" spans="1:8" hidden="1" x14ac:dyDescent="0.25">
      <c r="A1234">
        <v>2023</v>
      </c>
      <c r="B1234" t="s">
        <v>20</v>
      </c>
      <c r="C1234">
        <v>2021</v>
      </c>
      <c r="D1234">
        <v>1258.3599999999999</v>
      </c>
      <c r="E1234">
        <v>45</v>
      </c>
      <c r="F1234">
        <v>651187.99</v>
      </c>
      <c r="G1234">
        <v>246.55</v>
      </c>
      <c r="H1234" s="2"/>
    </row>
    <row r="1235" spans="1:8" hidden="1" x14ac:dyDescent="0.25">
      <c r="A1235">
        <v>2023</v>
      </c>
      <c r="B1235" t="s">
        <v>20</v>
      </c>
      <c r="C1235">
        <v>2022</v>
      </c>
      <c r="D1235">
        <v>188.38</v>
      </c>
      <c r="E1235">
        <v>15</v>
      </c>
      <c r="F1235">
        <v>653425.6</v>
      </c>
      <c r="G1235">
        <v>251.57</v>
      </c>
      <c r="H1235" s="2"/>
    </row>
    <row r="1236" spans="1:8" hidden="1" x14ac:dyDescent="0.25">
      <c r="A1236">
        <v>2023</v>
      </c>
      <c r="B1236" t="s">
        <v>20</v>
      </c>
      <c r="C1236">
        <v>2023</v>
      </c>
      <c r="D1236">
        <v>94.05</v>
      </c>
      <c r="E1236">
        <v>9</v>
      </c>
      <c r="F1236">
        <v>671089.84</v>
      </c>
      <c r="G1236">
        <v>251.46</v>
      </c>
      <c r="H1236" s="2"/>
    </row>
    <row r="1237" spans="1:8" hidden="1" x14ac:dyDescent="0.25">
      <c r="A1237">
        <v>2023</v>
      </c>
      <c r="B1237" t="s">
        <v>20</v>
      </c>
      <c r="C1237">
        <v>2024</v>
      </c>
      <c r="D1237">
        <v>230.45</v>
      </c>
      <c r="E1237">
        <v>17</v>
      </c>
      <c r="F1237">
        <v>660368.38</v>
      </c>
      <c r="G1237">
        <v>253.16</v>
      </c>
      <c r="H1237" s="2"/>
    </row>
    <row r="1238" spans="1:8" hidden="1" x14ac:dyDescent="0.25">
      <c r="A1238">
        <v>2023</v>
      </c>
      <c r="B1238" t="s">
        <v>21</v>
      </c>
      <c r="C1238">
        <v>2019</v>
      </c>
      <c r="D1238">
        <v>797.84</v>
      </c>
      <c r="E1238">
        <v>30</v>
      </c>
      <c r="F1238">
        <v>677832.96</v>
      </c>
      <c r="G1238">
        <v>266.38</v>
      </c>
      <c r="H1238" s="2">
        <f t="shared" ref="H1238" si="204">SUM(E1238:E1243)</f>
        <v>107</v>
      </c>
    </row>
    <row r="1239" spans="1:8" hidden="1" x14ac:dyDescent="0.25">
      <c r="A1239">
        <v>2023</v>
      </c>
      <c r="B1239" t="s">
        <v>21</v>
      </c>
      <c r="C1239">
        <v>2020</v>
      </c>
      <c r="D1239">
        <v>202.17</v>
      </c>
      <c r="E1239">
        <v>12</v>
      </c>
      <c r="F1239">
        <v>668506.16</v>
      </c>
      <c r="G1239">
        <v>268.87</v>
      </c>
      <c r="H1239" s="2"/>
    </row>
    <row r="1240" spans="1:8" hidden="1" x14ac:dyDescent="0.25">
      <c r="A1240">
        <v>2023</v>
      </c>
      <c r="B1240" t="s">
        <v>21</v>
      </c>
      <c r="C1240">
        <v>2021</v>
      </c>
      <c r="D1240">
        <v>724.39</v>
      </c>
      <c r="E1240">
        <v>27</v>
      </c>
      <c r="F1240">
        <v>642918.27</v>
      </c>
      <c r="G1240">
        <v>261.91000000000003</v>
      </c>
      <c r="H1240" s="2"/>
    </row>
    <row r="1241" spans="1:8" hidden="1" x14ac:dyDescent="0.25">
      <c r="A1241">
        <v>2023</v>
      </c>
      <c r="B1241" t="s">
        <v>21</v>
      </c>
      <c r="C1241">
        <v>2022</v>
      </c>
      <c r="D1241">
        <v>457.01</v>
      </c>
      <c r="E1241">
        <v>22</v>
      </c>
      <c r="F1241">
        <v>645517.34</v>
      </c>
      <c r="G1241">
        <v>266.18</v>
      </c>
      <c r="H1241" s="2"/>
    </row>
    <row r="1242" spans="1:8" hidden="1" x14ac:dyDescent="0.25">
      <c r="A1242">
        <v>2023</v>
      </c>
      <c r="B1242" t="s">
        <v>21</v>
      </c>
      <c r="C1242">
        <v>2023</v>
      </c>
      <c r="D1242">
        <v>91</v>
      </c>
      <c r="E1242">
        <v>8</v>
      </c>
      <c r="F1242">
        <v>658016.18000000005</v>
      </c>
      <c r="G1242">
        <v>266.06</v>
      </c>
      <c r="H1242" s="2"/>
    </row>
    <row r="1243" spans="1:8" hidden="1" x14ac:dyDescent="0.25">
      <c r="A1243">
        <v>2023</v>
      </c>
      <c r="B1243" t="s">
        <v>21</v>
      </c>
      <c r="C1243">
        <v>2024</v>
      </c>
      <c r="D1243">
        <v>211.61</v>
      </c>
      <c r="E1243">
        <v>8</v>
      </c>
      <c r="F1243">
        <v>650555.97</v>
      </c>
      <c r="G1243">
        <v>268.69</v>
      </c>
      <c r="H1243" s="2"/>
    </row>
    <row r="1244" spans="1:8" hidden="1" x14ac:dyDescent="0.25">
      <c r="A1244">
        <v>2023</v>
      </c>
      <c r="B1244" t="s">
        <v>22</v>
      </c>
      <c r="C1244">
        <v>2019</v>
      </c>
      <c r="D1244">
        <v>332.2</v>
      </c>
      <c r="E1244">
        <v>7</v>
      </c>
      <c r="F1244">
        <v>749330.79</v>
      </c>
      <c r="G1244">
        <v>464.3</v>
      </c>
      <c r="H1244" s="2">
        <f t="shared" ref="H1244" si="205">SUM(E1244:E1249)</f>
        <v>234</v>
      </c>
    </row>
    <row r="1245" spans="1:8" hidden="1" x14ac:dyDescent="0.25">
      <c r="A1245">
        <v>2023</v>
      </c>
      <c r="B1245" t="s">
        <v>22</v>
      </c>
      <c r="C1245">
        <v>2020</v>
      </c>
      <c r="D1245">
        <v>2671.19</v>
      </c>
      <c r="E1245">
        <v>55</v>
      </c>
      <c r="F1245">
        <v>687018.7</v>
      </c>
      <c r="G1245">
        <v>440.87</v>
      </c>
      <c r="H1245" s="2"/>
    </row>
    <row r="1246" spans="1:8" hidden="1" x14ac:dyDescent="0.25">
      <c r="A1246">
        <v>2023</v>
      </c>
      <c r="B1246" t="s">
        <v>22</v>
      </c>
      <c r="C1246">
        <v>2021</v>
      </c>
      <c r="D1246">
        <v>3575.28</v>
      </c>
      <c r="E1246">
        <v>65</v>
      </c>
      <c r="F1246">
        <v>712019.23</v>
      </c>
      <c r="G1246">
        <v>447.5</v>
      </c>
      <c r="H1246" s="2"/>
    </row>
    <row r="1247" spans="1:8" hidden="1" x14ac:dyDescent="0.25">
      <c r="A1247">
        <v>2023</v>
      </c>
      <c r="B1247" t="s">
        <v>22</v>
      </c>
      <c r="C1247">
        <v>2022</v>
      </c>
      <c r="D1247">
        <v>3037.31</v>
      </c>
      <c r="E1247">
        <v>61</v>
      </c>
      <c r="F1247">
        <v>671861.88</v>
      </c>
      <c r="G1247">
        <v>440.63</v>
      </c>
      <c r="H1247" s="2"/>
    </row>
    <row r="1248" spans="1:8" hidden="1" x14ac:dyDescent="0.25">
      <c r="A1248">
        <v>2023</v>
      </c>
      <c r="B1248" t="s">
        <v>22</v>
      </c>
      <c r="C1248">
        <v>2023</v>
      </c>
      <c r="D1248">
        <v>817.07</v>
      </c>
      <c r="E1248">
        <v>16</v>
      </c>
      <c r="F1248">
        <v>720708.23</v>
      </c>
      <c r="G1248">
        <v>463.16</v>
      </c>
      <c r="H1248" s="2"/>
    </row>
    <row r="1249" spans="1:8" hidden="1" x14ac:dyDescent="0.25">
      <c r="A1249">
        <v>2023</v>
      </c>
      <c r="B1249" t="s">
        <v>22</v>
      </c>
      <c r="C1249">
        <v>2024</v>
      </c>
      <c r="D1249">
        <v>1323.26</v>
      </c>
      <c r="E1249">
        <v>30</v>
      </c>
      <c r="F1249">
        <v>713889.57</v>
      </c>
      <c r="G1249">
        <v>450.38</v>
      </c>
      <c r="H1249" s="2"/>
    </row>
    <row r="1250" spans="1:8" hidden="1" x14ac:dyDescent="0.25">
      <c r="A1250">
        <v>2023</v>
      </c>
      <c r="B1250" t="s">
        <v>23</v>
      </c>
      <c r="C1250">
        <v>2019</v>
      </c>
      <c r="D1250">
        <v>163.07</v>
      </c>
      <c r="E1250">
        <v>15</v>
      </c>
      <c r="F1250">
        <v>682256.43</v>
      </c>
      <c r="G1250">
        <v>241.25</v>
      </c>
      <c r="H1250" s="2">
        <f t="shared" ref="H1250" si="206">SUM(E1250:E1255)</f>
        <v>128</v>
      </c>
    </row>
    <row r="1251" spans="1:8" hidden="1" x14ac:dyDescent="0.25">
      <c r="A1251">
        <v>2023</v>
      </c>
      <c r="B1251" t="s">
        <v>23</v>
      </c>
      <c r="C1251">
        <v>2020</v>
      </c>
      <c r="D1251">
        <v>496.45</v>
      </c>
      <c r="E1251">
        <v>21</v>
      </c>
      <c r="F1251">
        <v>679665.36</v>
      </c>
      <c r="G1251">
        <v>240.01</v>
      </c>
      <c r="H1251" s="2"/>
    </row>
    <row r="1252" spans="1:8" hidden="1" x14ac:dyDescent="0.25">
      <c r="A1252">
        <v>2023</v>
      </c>
      <c r="B1252" t="s">
        <v>23</v>
      </c>
      <c r="C1252">
        <v>2021</v>
      </c>
      <c r="D1252">
        <v>78.91</v>
      </c>
      <c r="E1252">
        <v>11</v>
      </c>
      <c r="F1252">
        <v>660231.6</v>
      </c>
      <c r="G1252">
        <v>241.26</v>
      </c>
      <c r="H1252" s="2"/>
    </row>
    <row r="1253" spans="1:8" hidden="1" x14ac:dyDescent="0.25">
      <c r="A1253">
        <v>2023</v>
      </c>
      <c r="B1253" t="s">
        <v>23</v>
      </c>
      <c r="C1253">
        <v>2022</v>
      </c>
      <c r="D1253">
        <v>1820.52</v>
      </c>
      <c r="E1253">
        <v>50</v>
      </c>
      <c r="F1253">
        <v>659628.67000000004</v>
      </c>
      <c r="G1253">
        <v>237.63</v>
      </c>
      <c r="H1253" s="2"/>
    </row>
    <row r="1254" spans="1:8" hidden="1" x14ac:dyDescent="0.25">
      <c r="A1254">
        <v>2023</v>
      </c>
      <c r="B1254" t="s">
        <v>23</v>
      </c>
      <c r="C1254">
        <v>2023</v>
      </c>
      <c r="D1254">
        <v>92.07</v>
      </c>
      <c r="E1254">
        <v>11</v>
      </c>
      <c r="F1254">
        <v>670210.68999999994</v>
      </c>
      <c r="G1254">
        <v>240.95</v>
      </c>
      <c r="H1254" s="2"/>
    </row>
    <row r="1255" spans="1:8" hidden="1" x14ac:dyDescent="0.25">
      <c r="A1255">
        <v>2023</v>
      </c>
      <c r="B1255" t="s">
        <v>23</v>
      </c>
      <c r="C1255">
        <v>2024</v>
      </c>
      <c r="D1255">
        <v>342.03</v>
      </c>
      <c r="E1255">
        <v>20</v>
      </c>
      <c r="F1255">
        <v>657324.27</v>
      </c>
      <c r="G1255">
        <v>239.77</v>
      </c>
      <c r="H1255" s="2"/>
    </row>
    <row r="1256" spans="1:8" hidden="1" x14ac:dyDescent="0.25">
      <c r="A1256">
        <v>2023</v>
      </c>
      <c r="B1256" t="s">
        <v>24</v>
      </c>
      <c r="C1256">
        <v>2019</v>
      </c>
      <c r="D1256">
        <v>487.72</v>
      </c>
      <c r="E1256">
        <v>13</v>
      </c>
      <c r="F1256">
        <v>673832</v>
      </c>
      <c r="G1256">
        <v>339.51</v>
      </c>
      <c r="H1256" s="2">
        <f t="shared" ref="H1256" si="207">SUM(E1256:E1261)</f>
        <v>109</v>
      </c>
    </row>
    <row r="1257" spans="1:8" hidden="1" x14ac:dyDescent="0.25">
      <c r="A1257">
        <v>2023</v>
      </c>
      <c r="B1257" t="s">
        <v>24</v>
      </c>
      <c r="C1257">
        <v>2020</v>
      </c>
      <c r="D1257">
        <v>201.37</v>
      </c>
      <c r="E1257">
        <v>9</v>
      </c>
      <c r="F1257">
        <v>651504.69999999995</v>
      </c>
      <c r="G1257">
        <v>339.8</v>
      </c>
      <c r="H1257" s="2"/>
    </row>
    <row r="1258" spans="1:8" hidden="1" x14ac:dyDescent="0.25">
      <c r="A1258">
        <v>2023</v>
      </c>
      <c r="B1258" t="s">
        <v>24</v>
      </c>
      <c r="C1258">
        <v>2021</v>
      </c>
      <c r="D1258">
        <v>754.67</v>
      </c>
      <c r="E1258">
        <v>20</v>
      </c>
      <c r="F1258">
        <v>647526.26</v>
      </c>
      <c r="G1258">
        <v>336.69</v>
      </c>
      <c r="H1258" s="2"/>
    </row>
    <row r="1259" spans="1:8" hidden="1" x14ac:dyDescent="0.25">
      <c r="A1259">
        <v>2023</v>
      </c>
      <c r="B1259" t="s">
        <v>24</v>
      </c>
      <c r="C1259">
        <v>2022</v>
      </c>
      <c r="D1259">
        <v>1543.6</v>
      </c>
      <c r="E1259">
        <v>36</v>
      </c>
      <c r="F1259">
        <v>639053.84</v>
      </c>
      <c r="G1259">
        <v>336.41</v>
      </c>
      <c r="H1259" s="2"/>
    </row>
    <row r="1260" spans="1:8" hidden="1" x14ac:dyDescent="0.25">
      <c r="A1260">
        <v>2023</v>
      </c>
      <c r="B1260" t="s">
        <v>24</v>
      </c>
      <c r="C1260">
        <v>2023</v>
      </c>
      <c r="D1260">
        <v>142.99</v>
      </c>
      <c r="E1260">
        <v>6</v>
      </c>
      <c r="F1260">
        <v>656691.06000000006</v>
      </c>
      <c r="G1260">
        <v>341.2</v>
      </c>
      <c r="H1260" s="2"/>
    </row>
    <row r="1261" spans="1:8" hidden="1" x14ac:dyDescent="0.25">
      <c r="A1261">
        <v>2023</v>
      </c>
      <c r="B1261" t="s">
        <v>24</v>
      </c>
      <c r="C1261">
        <v>2024</v>
      </c>
      <c r="D1261">
        <v>1155.79</v>
      </c>
      <c r="E1261">
        <v>25</v>
      </c>
      <c r="F1261">
        <v>622948.32999999996</v>
      </c>
      <c r="G1261">
        <v>332.85</v>
      </c>
      <c r="H1261" s="2"/>
    </row>
    <row r="1262" spans="1:8" hidden="1" x14ac:dyDescent="0.25">
      <c r="A1262">
        <v>2023</v>
      </c>
      <c r="B1262" t="s">
        <v>25</v>
      </c>
      <c r="C1262">
        <v>2019</v>
      </c>
      <c r="D1262">
        <v>123.54</v>
      </c>
      <c r="E1262">
        <v>7</v>
      </c>
      <c r="F1262">
        <v>589855.64</v>
      </c>
      <c r="G1262">
        <v>311.98</v>
      </c>
      <c r="H1262" s="2">
        <f t="shared" ref="H1262" si="208">SUM(E1262:E1267)</f>
        <v>92</v>
      </c>
    </row>
    <row r="1263" spans="1:8" hidden="1" x14ac:dyDescent="0.25">
      <c r="A1263">
        <v>2023</v>
      </c>
      <c r="B1263" t="s">
        <v>25</v>
      </c>
      <c r="C1263">
        <v>2020</v>
      </c>
      <c r="D1263">
        <v>427.01</v>
      </c>
      <c r="E1263">
        <v>14</v>
      </c>
      <c r="F1263">
        <v>586816.31999999995</v>
      </c>
      <c r="G1263">
        <v>309.98</v>
      </c>
      <c r="H1263" s="2"/>
    </row>
    <row r="1264" spans="1:8" hidden="1" x14ac:dyDescent="0.25">
      <c r="A1264">
        <v>2023</v>
      </c>
      <c r="B1264" t="s">
        <v>25</v>
      </c>
      <c r="C1264">
        <v>2021</v>
      </c>
      <c r="D1264">
        <v>671.08</v>
      </c>
      <c r="E1264">
        <v>18</v>
      </c>
      <c r="F1264">
        <v>565209.62</v>
      </c>
      <c r="G1264">
        <v>305.62</v>
      </c>
      <c r="H1264" s="2"/>
    </row>
    <row r="1265" spans="1:8" hidden="1" x14ac:dyDescent="0.25">
      <c r="A1265">
        <v>2023</v>
      </c>
      <c r="B1265" t="s">
        <v>25</v>
      </c>
      <c r="C1265">
        <v>2022</v>
      </c>
      <c r="D1265">
        <v>1309.81</v>
      </c>
      <c r="E1265">
        <v>32</v>
      </c>
      <c r="F1265">
        <v>569733.56999999995</v>
      </c>
      <c r="G1265">
        <v>306.82</v>
      </c>
      <c r="H1265" s="2"/>
    </row>
    <row r="1266" spans="1:8" hidden="1" x14ac:dyDescent="0.25">
      <c r="A1266">
        <v>2023</v>
      </c>
      <c r="B1266" t="s">
        <v>25</v>
      </c>
      <c r="C1266">
        <v>2023</v>
      </c>
      <c r="D1266">
        <v>108.14</v>
      </c>
      <c r="E1266">
        <v>7</v>
      </c>
      <c r="F1266">
        <v>583084.73</v>
      </c>
      <c r="G1266">
        <v>309.64</v>
      </c>
      <c r="H1266" s="2"/>
    </row>
    <row r="1267" spans="1:8" hidden="1" x14ac:dyDescent="0.25">
      <c r="A1267">
        <v>2023</v>
      </c>
      <c r="B1267" t="s">
        <v>25</v>
      </c>
      <c r="C1267">
        <v>2024</v>
      </c>
      <c r="D1267">
        <v>429.49</v>
      </c>
      <c r="E1267">
        <v>14</v>
      </c>
      <c r="F1267">
        <v>575023.46</v>
      </c>
      <c r="G1267">
        <v>310.81</v>
      </c>
      <c r="H1267" s="2"/>
    </row>
    <row r="1268" spans="1:8" hidden="1" x14ac:dyDescent="0.25">
      <c r="A1268">
        <v>2023</v>
      </c>
      <c r="B1268" t="s">
        <v>26</v>
      </c>
      <c r="C1268">
        <v>2019</v>
      </c>
      <c r="D1268">
        <v>344.22</v>
      </c>
      <c r="E1268">
        <v>18</v>
      </c>
      <c r="F1268">
        <v>650072.04</v>
      </c>
      <c r="G1268">
        <v>259.60000000000002</v>
      </c>
      <c r="H1268" s="2">
        <f t="shared" ref="H1268" si="209">SUM(E1268:E1273)</f>
        <v>98</v>
      </c>
    </row>
    <row r="1269" spans="1:8" hidden="1" x14ac:dyDescent="0.25">
      <c r="A1269">
        <v>2023</v>
      </c>
      <c r="B1269" t="s">
        <v>26</v>
      </c>
      <c r="C1269">
        <v>2020</v>
      </c>
      <c r="D1269">
        <v>146.13</v>
      </c>
      <c r="E1269">
        <v>11</v>
      </c>
      <c r="F1269">
        <v>641806.55000000005</v>
      </c>
      <c r="G1269">
        <v>258.67</v>
      </c>
      <c r="H1269" s="2"/>
    </row>
    <row r="1270" spans="1:8" hidden="1" x14ac:dyDescent="0.25">
      <c r="A1270">
        <v>2023</v>
      </c>
      <c r="B1270" t="s">
        <v>26</v>
      </c>
      <c r="C1270">
        <v>2021</v>
      </c>
      <c r="D1270">
        <v>636.16</v>
      </c>
      <c r="E1270">
        <v>26</v>
      </c>
      <c r="F1270">
        <v>624079.46</v>
      </c>
      <c r="G1270">
        <v>255.23</v>
      </c>
      <c r="H1270" s="2"/>
    </row>
    <row r="1271" spans="1:8" hidden="1" x14ac:dyDescent="0.25">
      <c r="A1271">
        <v>2023</v>
      </c>
      <c r="B1271" t="s">
        <v>26</v>
      </c>
      <c r="C1271">
        <v>2022</v>
      </c>
      <c r="D1271">
        <v>714.98</v>
      </c>
      <c r="E1271">
        <v>25</v>
      </c>
      <c r="F1271">
        <v>624666.68000000005</v>
      </c>
      <c r="G1271">
        <v>256.3</v>
      </c>
      <c r="H1271" s="2"/>
    </row>
    <row r="1272" spans="1:8" hidden="1" x14ac:dyDescent="0.25">
      <c r="A1272">
        <v>2023</v>
      </c>
      <c r="B1272" t="s">
        <v>26</v>
      </c>
      <c r="C1272">
        <v>2023</v>
      </c>
      <c r="D1272">
        <v>191.26</v>
      </c>
      <c r="E1272">
        <v>10</v>
      </c>
      <c r="F1272">
        <v>632401.79</v>
      </c>
      <c r="G1272">
        <v>258.64</v>
      </c>
      <c r="H1272" s="2"/>
    </row>
    <row r="1273" spans="1:8" hidden="1" x14ac:dyDescent="0.25">
      <c r="A1273">
        <v>2023</v>
      </c>
      <c r="B1273" t="s">
        <v>26</v>
      </c>
      <c r="C1273">
        <v>2024</v>
      </c>
      <c r="D1273">
        <v>255.55</v>
      </c>
      <c r="E1273">
        <v>8</v>
      </c>
      <c r="F1273">
        <v>625570.42000000004</v>
      </c>
      <c r="G1273">
        <v>258.52</v>
      </c>
      <c r="H1273" s="2"/>
    </row>
    <row r="1274" spans="1:8" hidden="1" x14ac:dyDescent="0.25">
      <c r="A1274">
        <v>2023</v>
      </c>
      <c r="B1274" t="s">
        <v>27</v>
      </c>
      <c r="C1274">
        <v>2019</v>
      </c>
      <c r="D1274">
        <v>52.72</v>
      </c>
      <c r="E1274">
        <v>4</v>
      </c>
      <c r="F1274">
        <v>587724.26</v>
      </c>
      <c r="G1274">
        <v>325.52999999999997</v>
      </c>
      <c r="H1274" s="2">
        <f t="shared" ref="H1274" si="210">SUM(E1274:E1279)</f>
        <v>131</v>
      </c>
    </row>
    <row r="1275" spans="1:8" hidden="1" x14ac:dyDescent="0.25">
      <c r="A1275">
        <v>2023</v>
      </c>
      <c r="B1275" t="s">
        <v>27</v>
      </c>
      <c r="C1275">
        <v>2020</v>
      </c>
      <c r="D1275">
        <v>629.62</v>
      </c>
      <c r="E1275">
        <v>16</v>
      </c>
      <c r="F1275">
        <v>576167.18000000005</v>
      </c>
      <c r="G1275">
        <v>320.3</v>
      </c>
      <c r="H1275" s="2"/>
    </row>
    <row r="1276" spans="1:8" hidden="1" x14ac:dyDescent="0.25">
      <c r="A1276">
        <v>2023</v>
      </c>
      <c r="B1276" t="s">
        <v>27</v>
      </c>
      <c r="C1276">
        <v>2021</v>
      </c>
      <c r="D1276">
        <v>1104.5</v>
      </c>
      <c r="E1276">
        <v>21</v>
      </c>
      <c r="F1276">
        <v>571196.39</v>
      </c>
      <c r="G1276">
        <v>320.54000000000002</v>
      </c>
      <c r="H1276" s="2"/>
    </row>
    <row r="1277" spans="1:8" hidden="1" x14ac:dyDescent="0.25">
      <c r="A1277">
        <v>2023</v>
      </c>
      <c r="B1277" t="s">
        <v>27</v>
      </c>
      <c r="C1277">
        <v>2022</v>
      </c>
      <c r="D1277">
        <v>2566.6</v>
      </c>
      <c r="E1277">
        <v>52</v>
      </c>
      <c r="F1277">
        <v>557367.80000000005</v>
      </c>
      <c r="G1277">
        <v>314.77</v>
      </c>
      <c r="H1277" s="2"/>
    </row>
    <row r="1278" spans="1:8" hidden="1" x14ac:dyDescent="0.25">
      <c r="A1278">
        <v>2023</v>
      </c>
      <c r="B1278" t="s">
        <v>27</v>
      </c>
      <c r="C1278">
        <v>2023</v>
      </c>
      <c r="D1278">
        <v>298.51</v>
      </c>
      <c r="E1278">
        <v>9</v>
      </c>
      <c r="F1278">
        <v>573384.84</v>
      </c>
      <c r="G1278">
        <v>321.52</v>
      </c>
      <c r="H1278" s="2"/>
    </row>
    <row r="1279" spans="1:8" hidden="1" x14ac:dyDescent="0.25">
      <c r="A1279">
        <v>2023</v>
      </c>
      <c r="B1279" t="s">
        <v>27</v>
      </c>
      <c r="C1279">
        <v>2024</v>
      </c>
      <c r="D1279">
        <v>1245.23</v>
      </c>
      <c r="E1279">
        <v>29</v>
      </c>
      <c r="F1279">
        <v>562904.68999999994</v>
      </c>
      <c r="G1279">
        <v>318</v>
      </c>
      <c r="H1279" s="2"/>
    </row>
    <row r="1280" spans="1:8" hidden="1" x14ac:dyDescent="0.25">
      <c r="A1280">
        <v>2023</v>
      </c>
      <c r="B1280" t="s">
        <v>28</v>
      </c>
      <c r="C1280">
        <v>2019</v>
      </c>
      <c r="D1280">
        <v>711.63</v>
      </c>
      <c r="E1280">
        <v>27</v>
      </c>
      <c r="F1280">
        <v>588499.06000000006</v>
      </c>
      <c r="G1280">
        <v>263.68</v>
      </c>
      <c r="H1280" s="2">
        <f t="shared" ref="H1280" si="211">SUM(E1280:E1285)</f>
        <v>140</v>
      </c>
    </row>
    <row r="1281" spans="1:8" hidden="1" x14ac:dyDescent="0.25">
      <c r="A1281">
        <v>2023</v>
      </c>
      <c r="B1281" t="s">
        <v>28</v>
      </c>
      <c r="C1281">
        <v>2020</v>
      </c>
      <c r="D1281">
        <v>406.88</v>
      </c>
      <c r="E1281">
        <v>21</v>
      </c>
      <c r="F1281">
        <v>583192.15</v>
      </c>
      <c r="G1281">
        <v>262.45</v>
      </c>
      <c r="H1281" s="2"/>
    </row>
    <row r="1282" spans="1:8" hidden="1" x14ac:dyDescent="0.25">
      <c r="A1282">
        <v>2023</v>
      </c>
      <c r="B1282" t="s">
        <v>28</v>
      </c>
      <c r="C1282">
        <v>2021</v>
      </c>
      <c r="D1282">
        <v>1260.53</v>
      </c>
      <c r="E1282">
        <v>43</v>
      </c>
      <c r="F1282">
        <v>561354.64</v>
      </c>
      <c r="G1282">
        <v>258.44</v>
      </c>
      <c r="H1282" s="2"/>
    </row>
    <row r="1283" spans="1:8" hidden="1" x14ac:dyDescent="0.25">
      <c r="A1283">
        <v>2023</v>
      </c>
      <c r="B1283" t="s">
        <v>28</v>
      </c>
      <c r="C1283">
        <v>2022</v>
      </c>
      <c r="D1283">
        <v>1037.1199999999999</v>
      </c>
      <c r="E1283">
        <v>29</v>
      </c>
      <c r="F1283">
        <v>566234.18000000005</v>
      </c>
      <c r="G1283">
        <v>261.69</v>
      </c>
      <c r="H1283" s="2"/>
    </row>
    <row r="1284" spans="1:8" hidden="1" x14ac:dyDescent="0.25">
      <c r="A1284">
        <v>2023</v>
      </c>
      <c r="B1284" t="s">
        <v>28</v>
      </c>
      <c r="C1284">
        <v>2023</v>
      </c>
      <c r="D1284">
        <v>48.46</v>
      </c>
      <c r="E1284">
        <v>8</v>
      </c>
      <c r="F1284">
        <v>581343.06000000006</v>
      </c>
      <c r="G1284">
        <v>263.64</v>
      </c>
      <c r="H1284" s="2"/>
    </row>
    <row r="1285" spans="1:8" hidden="1" x14ac:dyDescent="0.25">
      <c r="A1285">
        <v>2023</v>
      </c>
      <c r="B1285" t="s">
        <v>28</v>
      </c>
      <c r="C1285">
        <v>2024</v>
      </c>
      <c r="D1285">
        <v>374.21</v>
      </c>
      <c r="E1285">
        <v>12</v>
      </c>
      <c r="F1285">
        <v>569504.57999999996</v>
      </c>
      <c r="G1285">
        <v>264.16000000000003</v>
      </c>
      <c r="H1285" s="2"/>
    </row>
    <row r="1286" spans="1:8" hidden="1" x14ac:dyDescent="0.25">
      <c r="A1286">
        <v>2023</v>
      </c>
      <c r="B1286" t="s">
        <v>29</v>
      </c>
      <c r="C1286">
        <v>2019</v>
      </c>
      <c r="D1286">
        <v>177.06</v>
      </c>
      <c r="E1286">
        <v>7</v>
      </c>
      <c r="F1286">
        <v>665582.14</v>
      </c>
      <c r="G1286">
        <v>346.66</v>
      </c>
      <c r="H1286" s="2">
        <f t="shared" ref="H1286" si="212">SUM(E1286:E1291)</f>
        <v>105</v>
      </c>
    </row>
    <row r="1287" spans="1:8" hidden="1" x14ac:dyDescent="0.25">
      <c r="A1287">
        <v>2023</v>
      </c>
      <c r="B1287" t="s">
        <v>29</v>
      </c>
      <c r="C1287">
        <v>2020</v>
      </c>
      <c r="D1287">
        <v>649.51</v>
      </c>
      <c r="E1287">
        <v>14</v>
      </c>
      <c r="F1287">
        <v>638990.4</v>
      </c>
      <c r="G1287">
        <v>341.74</v>
      </c>
      <c r="H1287" s="2"/>
    </row>
    <row r="1288" spans="1:8" hidden="1" x14ac:dyDescent="0.25">
      <c r="A1288">
        <v>2023</v>
      </c>
      <c r="B1288" t="s">
        <v>29</v>
      </c>
      <c r="C1288">
        <v>2021</v>
      </c>
      <c r="D1288">
        <v>1334.46</v>
      </c>
      <c r="E1288">
        <v>26</v>
      </c>
      <c r="F1288">
        <v>632701.89</v>
      </c>
      <c r="G1288">
        <v>339.96</v>
      </c>
      <c r="H1288" s="2"/>
    </row>
    <row r="1289" spans="1:8" hidden="1" x14ac:dyDescent="0.25">
      <c r="A1289">
        <v>2023</v>
      </c>
      <c r="B1289" t="s">
        <v>29</v>
      </c>
      <c r="C1289">
        <v>2022</v>
      </c>
      <c r="D1289">
        <v>2599.29</v>
      </c>
      <c r="E1289">
        <v>44</v>
      </c>
      <c r="F1289">
        <v>629363.02</v>
      </c>
      <c r="G1289">
        <v>333.84</v>
      </c>
      <c r="H1289" s="2"/>
    </row>
    <row r="1290" spans="1:8" hidden="1" x14ac:dyDescent="0.25">
      <c r="A1290">
        <v>2023</v>
      </c>
      <c r="B1290" t="s">
        <v>29</v>
      </c>
      <c r="C1290">
        <v>2023</v>
      </c>
      <c r="D1290">
        <v>124.11</v>
      </c>
      <c r="E1290">
        <v>6</v>
      </c>
      <c r="F1290">
        <v>649974.14</v>
      </c>
      <c r="G1290">
        <v>345.44</v>
      </c>
      <c r="H1290" s="2"/>
    </row>
    <row r="1291" spans="1:8" hidden="1" x14ac:dyDescent="0.25">
      <c r="A1291">
        <v>2023</v>
      </c>
      <c r="B1291" t="s">
        <v>29</v>
      </c>
      <c r="C1291">
        <v>2024</v>
      </c>
      <c r="D1291">
        <v>390.56</v>
      </c>
      <c r="E1291">
        <v>8</v>
      </c>
      <c r="F1291">
        <v>633242.11</v>
      </c>
      <c r="G1291">
        <v>341.79</v>
      </c>
      <c r="H1291" s="2"/>
    </row>
    <row r="1292" spans="1:8" hidden="1" x14ac:dyDescent="0.25">
      <c r="A1292">
        <v>2023</v>
      </c>
      <c r="B1292" t="s">
        <v>30</v>
      </c>
      <c r="C1292">
        <v>2019</v>
      </c>
      <c r="D1292">
        <v>76.08</v>
      </c>
      <c r="E1292">
        <v>7</v>
      </c>
      <c r="F1292">
        <v>623157.43999999994</v>
      </c>
      <c r="G1292">
        <v>277.39999999999998</v>
      </c>
      <c r="H1292" s="2">
        <f t="shared" ref="H1292" si="213">SUM(E1292:E1297)</f>
        <v>77</v>
      </c>
    </row>
    <row r="1293" spans="1:8" hidden="1" x14ac:dyDescent="0.25">
      <c r="A1293">
        <v>2023</v>
      </c>
      <c r="B1293" t="s">
        <v>30</v>
      </c>
      <c r="C1293">
        <v>2020</v>
      </c>
      <c r="D1293">
        <v>200.77</v>
      </c>
      <c r="E1293">
        <v>13</v>
      </c>
      <c r="F1293">
        <v>615712.12</v>
      </c>
      <c r="G1293">
        <v>275.88</v>
      </c>
      <c r="H1293" s="2"/>
    </row>
    <row r="1294" spans="1:8" hidden="1" x14ac:dyDescent="0.25">
      <c r="A1294">
        <v>2023</v>
      </c>
      <c r="B1294" t="s">
        <v>30</v>
      </c>
      <c r="C1294">
        <v>2021</v>
      </c>
      <c r="D1294">
        <v>635.84</v>
      </c>
      <c r="E1294">
        <v>19</v>
      </c>
      <c r="F1294">
        <v>592529.66</v>
      </c>
      <c r="G1294">
        <v>272.39999999999998</v>
      </c>
      <c r="H1294" s="2"/>
    </row>
    <row r="1295" spans="1:8" hidden="1" x14ac:dyDescent="0.25">
      <c r="A1295">
        <v>2023</v>
      </c>
      <c r="B1295" t="s">
        <v>30</v>
      </c>
      <c r="C1295">
        <v>2022</v>
      </c>
      <c r="D1295">
        <v>663.15</v>
      </c>
      <c r="E1295">
        <v>19</v>
      </c>
      <c r="F1295">
        <v>596061.65</v>
      </c>
      <c r="G1295">
        <v>274.10000000000002</v>
      </c>
      <c r="H1295" s="2"/>
    </row>
    <row r="1296" spans="1:8" hidden="1" x14ac:dyDescent="0.25">
      <c r="A1296">
        <v>2023</v>
      </c>
      <c r="B1296" t="s">
        <v>30</v>
      </c>
      <c r="C1296">
        <v>2023</v>
      </c>
      <c r="D1296">
        <v>92.99</v>
      </c>
      <c r="E1296">
        <v>8</v>
      </c>
      <c r="F1296">
        <v>613792.16</v>
      </c>
      <c r="G1296">
        <v>275.60000000000002</v>
      </c>
      <c r="H1296" s="2"/>
    </row>
    <row r="1297" spans="1:8" hidden="1" x14ac:dyDescent="0.25">
      <c r="A1297">
        <v>2023</v>
      </c>
      <c r="B1297" t="s">
        <v>30</v>
      </c>
      <c r="C1297">
        <v>2024</v>
      </c>
      <c r="D1297">
        <v>301.36</v>
      </c>
      <c r="E1297">
        <v>11</v>
      </c>
      <c r="F1297">
        <v>603834.37</v>
      </c>
      <c r="G1297">
        <v>276.02999999999997</v>
      </c>
      <c r="H1297" s="2"/>
    </row>
    <row r="1298" spans="1:8" hidden="1" x14ac:dyDescent="0.25">
      <c r="A1298">
        <v>2023</v>
      </c>
      <c r="B1298" t="s">
        <v>31</v>
      </c>
      <c r="C1298">
        <v>2019</v>
      </c>
      <c r="D1298">
        <v>38.67</v>
      </c>
      <c r="E1298">
        <v>1</v>
      </c>
      <c r="F1298">
        <v>805208.19</v>
      </c>
      <c r="G1298">
        <v>538.29</v>
      </c>
      <c r="H1298" s="2">
        <f t="shared" ref="H1298" si="214">SUM(E1298:E1303)</f>
        <v>187</v>
      </c>
    </row>
    <row r="1299" spans="1:8" hidden="1" x14ac:dyDescent="0.25">
      <c r="A1299">
        <v>2023</v>
      </c>
      <c r="B1299" t="s">
        <v>31</v>
      </c>
      <c r="C1299">
        <v>2020</v>
      </c>
      <c r="D1299">
        <v>1979.38</v>
      </c>
      <c r="E1299">
        <v>47</v>
      </c>
      <c r="F1299">
        <v>728141.95</v>
      </c>
      <c r="G1299">
        <v>510.37</v>
      </c>
      <c r="H1299" s="2"/>
    </row>
    <row r="1300" spans="1:8" hidden="1" x14ac:dyDescent="0.25">
      <c r="A1300">
        <v>2023</v>
      </c>
      <c r="B1300" t="s">
        <v>31</v>
      </c>
      <c r="C1300">
        <v>2021</v>
      </c>
      <c r="D1300">
        <v>3443.72</v>
      </c>
      <c r="E1300">
        <v>66</v>
      </c>
      <c r="F1300">
        <v>750265.53</v>
      </c>
      <c r="G1300">
        <v>514.94000000000005</v>
      </c>
      <c r="H1300" s="2"/>
    </row>
    <row r="1301" spans="1:8" hidden="1" x14ac:dyDescent="0.25">
      <c r="A1301">
        <v>2023</v>
      </c>
      <c r="B1301" t="s">
        <v>31</v>
      </c>
      <c r="C1301">
        <v>2022</v>
      </c>
      <c r="D1301">
        <v>1474.48</v>
      </c>
      <c r="E1301">
        <v>33</v>
      </c>
      <c r="F1301">
        <v>691209.66</v>
      </c>
      <c r="G1301">
        <v>515.49</v>
      </c>
      <c r="H1301" s="2"/>
    </row>
    <row r="1302" spans="1:8" hidden="1" x14ac:dyDescent="0.25">
      <c r="A1302">
        <v>2023</v>
      </c>
      <c r="B1302" t="s">
        <v>31</v>
      </c>
      <c r="C1302">
        <v>2023</v>
      </c>
      <c r="D1302">
        <v>762.25</v>
      </c>
      <c r="E1302">
        <v>14</v>
      </c>
      <c r="F1302">
        <v>756576.34</v>
      </c>
      <c r="G1302">
        <v>532.69000000000005</v>
      </c>
      <c r="H1302" s="2"/>
    </row>
    <row r="1303" spans="1:8" hidden="1" x14ac:dyDescent="0.25">
      <c r="A1303">
        <v>2023</v>
      </c>
      <c r="B1303" t="s">
        <v>31</v>
      </c>
      <c r="C1303">
        <v>2024</v>
      </c>
      <c r="D1303">
        <v>1251.1099999999999</v>
      </c>
      <c r="E1303">
        <v>26</v>
      </c>
      <c r="F1303">
        <v>763748.04</v>
      </c>
      <c r="G1303">
        <v>510.64</v>
      </c>
      <c r="H1303" s="2"/>
    </row>
    <row r="1304" spans="1:8" hidden="1" x14ac:dyDescent="0.25">
      <c r="A1304">
        <v>2023</v>
      </c>
      <c r="B1304" t="s">
        <v>32</v>
      </c>
      <c r="C1304">
        <v>2019</v>
      </c>
      <c r="D1304">
        <v>1016.74</v>
      </c>
      <c r="E1304">
        <v>23</v>
      </c>
      <c r="F1304">
        <v>872126.66</v>
      </c>
      <c r="G1304">
        <v>332.1</v>
      </c>
      <c r="H1304" s="2">
        <f t="shared" ref="H1304" si="215">SUM(E1304:E1309)</f>
        <v>187</v>
      </c>
    </row>
    <row r="1305" spans="1:8" hidden="1" x14ac:dyDescent="0.25">
      <c r="A1305">
        <v>2023</v>
      </c>
      <c r="B1305" t="s">
        <v>32</v>
      </c>
      <c r="C1305">
        <v>2020</v>
      </c>
      <c r="D1305">
        <v>1075.7</v>
      </c>
      <c r="E1305">
        <v>27</v>
      </c>
      <c r="F1305">
        <v>830750.51</v>
      </c>
      <c r="G1305">
        <v>325.61</v>
      </c>
      <c r="H1305" s="2"/>
    </row>
    <row r="1306" spans="1:8" hidden="1" x14ac:dyDescent="0.25">
      <c r="A1306">
        <v>2023</v>
      </c>
      <c r="B1306" t="s">
        <v>32</v>
      </c>
      <c r="C1306">
        <v>2021</v>
      </c>
      <c r="D1306">
        <v>2372.83</v>
      </c>
      <c r="E1306">
        <v>55</v>
      </c>
      <c r="F1306">
        <v>848592.74</v>
      </c>
      <c r="G1306">
        <v>322.35000000000002</v>
      </c>
      <c r="H1306" s="2"/>
    </row>
    <row r="1307" spans="1:8" hidden="1" x14ac:dyDescent="0.25">
      <c r="A1307">
        <v>2023</v>
      </c>
      <c r="B1307" t="s">
        <v>32</v>
      </c>
      <c r="C1307">
        <v>2022</v>
      </c>
      <c r="D1307">
        <v>1098.79</v>
      </c>
      <c r="E1307">
        <v>31</v>
      </c>
      <c r="F1307">
        <v>844893.38</v>
      </c>
      <c r="G1307">
        <v>326.64999999999998</v>
      </c>
      <c r="H1307" s="2"/>
    </row>
    <row r="1308" spans="1:8" hidden="1" x14ac:dyDescent="0.25">
      <c r="A1308">
        <v>2023</v>
      </c>
      <c r="B1308" t="s">
        <v>32</v>
      </c>
      <c r="C1308">
        <v>2023</v>
      </c>
      <c r="D1308">
        <v>1035.68</v>
      </c>
      <c r="E1308">
        <v>23</v>
      </c>
      <c r="F1308">
        <v>857122.87</v>
      </c>
      <c r="G1308">
        <v>331.71</v>
      </c>
      <c r="H1308" s="2"/>
    </row>
    <row r="1309" spans="1:8" hidden="1" x14ac:dyDescent="0.25">
      <c r="A1309">
        <v>2023</v>
      </c>
      <c r="B1309" t="s">
        <v>32</v>
      </c>
      <c r="C1309">
        <v>2024</v>
      </c>
      <c r="D1309">
        <v>962.21</v>
      </c>
      <c r="E1309">
        <v>28</v>
      </c>
      <c r="F1309">
        <v>856544.47</v>
      </c>
      <c r="G1309">
        <v>327.99</v>
      </c>
      <c r="H1309" s="2"/>
    </row>
    <row r="1310" spans="1:8" hidden="1" x14ac:dyDescent="0.25">
      <c r="A1310">
        <v>2023</v>
      </c>
      <c r="B1310" t="s">
        <v>33</v>
      </c>
      <c r="C1310">
        <v>2019</v>
      </c>
      <c r="D1310">
        <v>1355.08</v>
      </c>
      <c r="E1310">
        <v>23</v>
      </c>
      <c r="F1310">
        <v>799864.94</v>
      </c>
      <c r="G1310">
        <v>313.39</v>
      </c>
      <c r="H1310" s="2">
        <f t="shared" ref="H1310" si="216">SUM(E1310:E1315)</f>
        <v>254</v>
      </c>
    </row>
    <row r="1311" spans="1:8" hidden="1" x14ac:dyDescent="0.25">
      <c r="A1311">
        <v>2023</v>
      </c>
      <c r="B1311" t="s">
        <v>33</v>
      </c>
      <c r="C1311">
        <v>2020</v>
      </c>
      <c r="D1311">
        <v>1985.06</v>
      </c>
      <c r="E1311">
        <v>47</v>
      </c>
      <c r="F1311">
        <v>774025.38</v>
      </c>
      <c r="G1311">
        <v>305.68</v>
      </c>
      <c r="H1311" s="2"/>
    </row>
    <row r="1312" spans="1:8" hidden="1" x14ac:dyDescent="0.25">
      <c r="A1312">
        <v>2023</v>
      </c>
      <c r="B1312" t="s">
        <v>33</v>
      </c>
      <c r="C1312">
        <v>2021</v>
      </c>
      <c r="D1312">
        <v>1625.01</v>
      </c>
      <c r="E1312">
        <v>46</v>
      </c>
      <c r="F1312">
        <v>792004.68</v>
      </c>
      <c r="G1312">
        <v>308.64</v>
      </c>
      <c r="H1312" s="2"/>
    </row>
    <row r="1313" spans="1:8" hidden="1" x14ac:dyDescent="0.25">
      <c r="A1313">
        <v>2023</v>
      </c>
      <c r="B1313" t="s">
        <v>33</v>
      </c>
      <c r="C1313">
        <v>2022</v>
      </c>
      <c r="D1313">
        <v>2336.17</v>
      </c>
      <c r="E1313">
        <v>54</v>
      </c>
      <c r="F1313">
        <v>775746.19</v>
      </c>
      <c r="G1313">
        <v>305.48</v>
      </c>
      <c r="H1313" s="2"/>
    </row>
    <row r="1314" spans="1:8" hidden="1" x14ac:dyDescent="0.25">
      <c r="A1314">
        <v>2023</v>
      </c>
      <c r="B1314" t="s">
        <v>33</v>
      </c>
      <c r="C1314">
        <v>2023</v>
      </c>
      <c r="D1314">
        <v>558.6</v>
      </c>
      <c r="E1314">
        <v>13</v>
      </c>
      <c r="F1314">
        <v>795857.28</v>
      </c>
      <c r="G1314">
        <v>314.86</v>
      </c>
      <c r="H1314" s="2"/>
    </row>
    <row r="1315" spans="1:8" hidden="1" x14ac:dyDescent="0.25">
      <c r="A1315">
        <v>2023</v>
      </c>
      <c r="B1315" t="s">
        <v>33</v>
      </c>
      <c r="C1315">
        <v>2024</v>
      </c>
      <c r="D1315">
        <v>3439.03</v>
      </c>
      <c r="E1315">
        <v>71</v>
      </c>
      <c r="F1315">
        <v>785236.59</v>
      </c>
      <c r="G1315">
        <v>306.70999999999998</v>
      </c>
      <c r="H1315" s="2"/>
    </row>
    <row r="1316" spans="1:8" hidden="1" x14ac:dyDescent="0.25">
      <c r="A1316">
        <v>2023</v>
      </c>
      <c r="B1316" t="s">
        <v>34</v>
      </c>
      <c r="C1316">
        <v>2019</v>
      </c>
      <c r="D1316">
        <v>132.16</v>
      </c>
      <c r="E1316">
        <v>5</v>
      </c>
      <c r="F1316">
        <v>696506.37</v>
      </c>
      <c r="G1316">
        <v>518.33000000000004</v>
      </c>
      <c r="H1316" s="2">
        <f t="shared" ref="H1316" si="217">SUM(E1316:E1321)</f>
        <v>222</v>
      </c>
    </row>
    <row r="1317" spans="1:8" hidden="1" x14ac:dyDescent="0.25">
      <c r="A1317">
        <v>2023</v>
      </c>
      <c r="B1317" t="s">
        <v>34</v>
      </c>
      <c r="C1317">
        <v>2020</v>
      </c>
      <c r="D1317">
        <v>2933.19</v>
      </c>
      <c r="E1317">
        <v>64</v>
      </c>
      <c r="F1317">
        <v>643482.04</v>
      </c>
      <c r="G1317">
        <v>490.58</v>
      </c>
      <c r="H1317" s="2"/>
    </row>
    <row r="1318" spans="1:8" hidden="1" x14ac:dyDescent="0.25">
      <c r="A1318">
        <v>2023</v>
      </c>
      <c r="B1318" t="s">
        <v>34</v>
      </c>
      <c r="C1318">
        <v>2021</v>
      </c>
      <c r="D1318">
        <v>4076.62</v>
      </c>
      <c r="E1318">
        <v>77</v>
      </c>
      <c r="F1318">
        <v>662794.27</v>
      </c>
      <c r="G1318">
        <v>500.06</v>
      </c>
      <c r="H1318" s="2"/>
    </row>
    <row r="1319" spans="1:8" hidden="1" x14ac:dyDescent="0.25">
      <c r="A1319">
        <v>2023</v>
      </c>
      <c r="B1319" t="s">
        <v>34</v>
      </c>
      <c r="C1319">
        <v>2022</v>
      </c>
      <c r="D1319">
        <v>2450.27</v>
      </c>
      <c r="E1319">
        <v>52</v>
      </c>
      <c r="F1319">
        <v>623652.34</v>
      </c>
      <c r="G1319">
        <v>486.13</v>
      </c>
      <c r="H1319" s="2"/>
    </row>
    <row r="1320" spans="1:8" hidden="1" x14ac:dyDescent="0.25">
      <c r="A1320">
        <v>2023</v>
      </c>
      <c r="B1320" t="s">
        <v>34</v>
      </c>
      <c r="C1320">
        <v>2023</v>
      </c>
      <c r="D1320">
        <v>579.76</v>
      </c>
      <c r="E1320">
        <v>12</v>
      </c>
      <c r="F1320">
        <v>665185.44999999995</v>
      </c>
      <c r="G1320">
        <v>515.15</v>
      </c>
      <c r="H1320" s="2"/>
    </row>
    <row r="1321" spans="1:8" hidden="1" x14ac:dyDescent="0.25">
      <c r="A1321">
        <v>2023</v>
      </c>
      <c r="B1321" t="s">
        <v>34</v>
      </c>
      <c r="C1321">
        <v>2024</v>
      </c>
      <c r="D1321">
        <v>500.97</v>
      </c>
      <c r="E1321">
        <v>12</v>
      </c>
      <c r="F1321">
        <v>661424.67000000004</v>
      </c>
      <c r="G1321">
        <v>503.21</v>
      </c>
      <c r="H1321" s="2"/>
    </row>
    <row r="1322" spans="1:8" hidden="1" x14ac:dyDescent="0.25">
      <c r="A1322">
        <v>2023</v>
      </c>
      <c r="B1322" t="s">
        <v>35</v>
      </c>
      <c r="C1322">
        <v>2019</v>
      </c>
      <c r="D1322">
        <v>190.02</v>
      </c>
      <c r="E1322">
        <v>4</v>
      </c>
      <c r="F1322">
        <v>737680.53</v>
      </c>
      <c r="G1322">
        <v>381.44</v>
      </c>
      <c r="H1322" s="2">
        <f t="shared" ref="H1322" si="218">SUM(E1322:E1327)</f>
        <v>181</v>
      </c>
    </row>
    <row r="1323" spans="1:8" hidden="1" x14ac:dyDescent="0.25">
      <c r="A1323">
        <v>2023</v>
      </c>
      <c r="B1323" t="s">
        <v>35</v>
      </c>
      <c r="C1323">
        <v>2020</v>
      </c>
      <c r="D1323">
        <v>2508.14</v>
      </c>
      <c r="E1323">
        <v>49</v>
      </c>
      <c r="F1323">
        <v>699926.73</v>
      </c>
      <c r="G1323">
        <v>366.4</v>
      </c>
      <c r="H1323" s="2"/>
    </row>
    <row r="1324" spans="1:8" hidden="1" x14ac:dyDescent="0.25">
      <c r="A1324">
        <v>2023</v>
      </c>
      <c r="B1324" t="s">
        <v>35</v>
      </c>
      <c r="C1324">
        <v>2021</v>
      </c>
      <c r="D1324">
        <v>2953.84</v>
      </c>
      <c r="E1324">
        <v>63</v>
      </c>
      <c r="F1324">
        <v>724819.82</v>
      </c>
      <c r="G1324">
        <v>365.99</v>
      </c>
      <c r="H1324" s="2"/>
    </row>
    <row r="1325" spans="1:8" hidden="1" x14ac:dyDescent="0.25">
      <c r="A1325">
        <v>2023</v>
      </c>
      <c r="B1325" t="s">
        <v>35</v>
      </c>
      <c r="C1325">
        <v>2022</v>
      </c>
      <c r="D1325">
        <v>690.53</v>
      </c>
      <c r="E1325">
        <v>19</v>
      </c>
      <c r="F1325">
        <v>717388.66</v>
      </c>
      <c r="G1325">
        <v>371.15</v>
      </c>
      <c r="H1325" s="2"/>
    </row>
    <row r="1326" spans="1:8" hidden="1" x14ac:dyDescent="0.25">
      <c r="A1326">
        <v>2023</v>
      </c>
      <c r="B1326" t="s">
        <v>35</v>
      </c>
      <c r="C1326">
        <v>2023</v>
      </c>
      <c r="D1326">
        <v>686.48</v>
      </c>
      <c r="E1326">
        <v>14</v>
      </c>
      <c r="F1326">
        <v>731993.11</v>
      </c>
      <c r="G1326">
        <v>380.78</v>
      </c>
      <c r="H1326" s="2"/>
    </row>
    <row r="1327" spans="1:8" hidden="1" x14ac:dyDescent="0.25">
      <c r="A1327">
        <v>2023</v>
      </c>
      <c r="B1327" t="s">
        <v>35</v>
      </c>
      <c r="C1327">
        <v>2024</v>
      </c>
      <c r="D1327">
        <v>1513.03</v>
      </c>
      <c r="E1327">
        <v>32</v>
      </c>
      <c r="F1327">
        <v>730721.48</v>
      </c>
      <c r="G1327">
        <v>376.08</v>
      </c>
      <c r="H1327" s="2"/>
    </row>
    <row r="1328" spans="1:8" hidden="1" x14ac:dyDescent="0.25">
      <c r="A1328">
        <v>2023</v>
      </c>
      <c r="B1328" t="s">
        <v>22</v>
      </c>
      <c r="C1328">
        <v>2019</v>
      </c>
      <c r="D1328">
        <v>332.2</v>
      </c>
      <c r="E1328">
        <v>7</v>
      </c>
      <c r="F1328">
        <v>749330.79</v>
      </c>
      <c r="G1328">
        <v>464.3</v>
      </c>
      <c r="H1328" s="2">
        <f t="shared" ref="H1328" si="219">SUM(E1328:E1333)</f>
        <v>234</v>
      </c>
    </row>
    <row r="1329" spans="1:8" hidden="1" x14ac:dyDescent="0.25">
      <c r="A1329">
        <v>2023</v>
      </c>
      <c r="B1329" t="s">
        <v>22</v>
      </c>
      <c r="C1329">
        <v>2020</v>
      </c>
      <c r="D1329">
        <v>2671.19</v>
      </c>
      <c r="E1329">
        <v>55</v>
      </c>
      <c r="F1329">
        <v>687018.7</v>
      </c>
      <c r="G1329">
        <v>440.87</v>
      </c>
      <c r="H1329" s="2"/>
    </row>
    <row r="1330" spans="1:8" hidden="1" x14ac:dyDescent="0.25">
      <c r="A1330">
        <v>2023</v>
      </c>
      <c r="B1330" t="s">
        <v>22</v>
      </c>
      <c r="C1330">
        <v>2021</v>
      </c>
      <c r="D1330">
        <v>3575.28</v>
      </c>
      <c r="E1330">
        <v>65</v>
      </c>
      <c r="F1330">
        <v>712019.23</v>
      </c>
      <c r="G1330">
        <v>447.5</v>
      </c>
      <c r="H1330" s="2"/>
    </row>
    <row r="1331" spans="1:8" hidden="1" x14ac:dyDescent="0.25">
      <c r="A1331">
        <v>2023</v>
      </c>
      <c r="B1331" t="s">
        <v>22</v>
      </c>
      <c r="C1331">
        <v>2022</v>
      </c>
      <c r="D1331">
        <v>3037.31</v>
      </c>
      <c r="E1331">
        <v>61</v>
      </c>
      <c r="F1331">
        <v>671861.88</v>
      </c>
      <c r="G1331">
        <v>440.63</v>
      </c>
      <c r="H1331" s="2"/>
    </row>
    <row r="1332" spans="1:8" hidden="1" x14ac:dyDescent="0.25">
      <c r="A1332">
        <v>2023</v>
      </c>
      <c r="B1332" t="s">
        <v>22</v>
      </c>
      <c r="C1332">
        <v>2023</v>
      </c>
      <c r="D1332">
        <v>817.07</v>
      </c>
      <c r="E1332">
        <v>16</v>
      </c>
      <c r="F1332">
        <v>720708.23</v>
      </c>
      <c r="G1332">
        <v>463.16</v>
      </c>
      <c r="H1332" s="2"/>
    </row>
    <row r="1333" spans="1:8" hidden="1" x14ac:dyDescent="0.25">
      <c r="A1333">
        <v>2023</v>
      </c>
      <c r="B1333" t="s">
        <v>22</v>
      </c>
      <c r="C1333">
        <v>2024</v>
      </c>
      <c r="D1333">
        <v>1323.26</v>
      </c>
      <c r="E1333">
        <v>30</v>
      </c>
      <c r="F1333">
        <v>713889.57</v>
      </c>
      <c r="G1333">
        <v>450.38</v>
      </c>
      <c r="H1333" s="2"/>
    </row>
    <row r="1334" spans="1:8" hidden="1" x14ac:dyDescent="0.25">
      <c r="A1334">
        <v>2023</v>
      </c>
      <c r="B1334" t="s">
        <v>36</v>
      </c>
      <c r="C1334">
        <v>2019</v>
      </c>
      <c r="D1334">
        <v>111.53</v>
      </c>
      <c r="E1334">
        <v>2</v>
      </c>
      <c r="F1334">
        <v>877077.31</v>
      </c>
      <c r="G1334">
        <v>451.9</v>
      </c>
      <c r="H1334" s="2">
        <f t="shared" ref="H1334" si="220">SUM(E1334:E1339)</f>
        <v>164</v>
      </c>
    </row>
    <row r="1335" spans="1:8" hidden="1" x14ac:dyDescent="0.25">
      <c r="A1335">
        <v>2023</v>
      </c>
      <c r="B1335" t="s">
        <v>36</v>
      </c>
      <c r="C1335">
        <v>2020</v>
      </c>
      <c r="D1335">
        <v>2183.9899999999998</v>
      </c>
      <c r="E1335">
        <v>42</v>
      </c>
      <c r="F1335">
        <v>798998.71</v>
      </c>
      <c r="G1335">
        <v>431.93</v>
      </c>
      <c r="H1335" s="2"/>
    </row>
    <row r="1336" spans="1:8" hidden="1" x14ac:dyDescent="0.25">
      <c r="A1336">
        <v>2023</v>
      </c>
      <c r="B1336" t="s">
        <v>36</v>
      </c>
      <c r="C1336">
        <v>2021</v>
      </c>
      <c r="D1336">
        <v>2964.05</v>
      </c>
      <c r="E1336">
        <v>55</v>
      </c>
      <c r="F1336">
        <v>832344.77</v>
      </c>
      <c r="G1336">
        <v>436.06</v>
      </c>
      <c r="H1336" s="2"/>
    </row>
    <row r="1337" spans="1:8" hidden="1" x14ac:dyDescent="0.25">
      <c r="A1337">
        <v>2023</v>
      </c>
      <c r="B1337" t="s">
        <v>36</v>
      </c>
      <c r="C1337">
        <v>2022</v>
      </c>
      <c r="D1337">
        <v>1338.48</v>
      </c>
      <c r="E1337">
        <v>33</v>
      </c>
      <c r="F1337">
        <v>777902.97</v>
      </c>
      <c r="G1337">
        <v>434.31</v>
      </c>
      <c r="H1337" s="2"/>
    </row>
    <row r="1338" spans="1:8" hidden="1" x14ac:dyDescent="0.25">
      <c r="A1338">
        <v>2023</v>
      </c>
      <c r="B1338" t="s">
        <v>36</v>
      </c>
      <c r="C1338">
        <v>2023</v>
      </c>
      <c r="D1338">
        <v>1097.01</v>
      </c>
      <c r="E1338">
        <v>24</v>
      </c>
      <c r="F1338">
        <v>842418.59</v>
      </c>
      <c r="G1338">
        <v>445.81</v>
      </c>
      <c r="H1338" s="2"/>
    </row>
    <row r="1339" spans="1:8" hidden="1" x14ac:dyDescent="0.25">
      <c r="A1339">
        <v>2023</v>
      </c>
      <c r="B1339" t="s">
        <v>36</v>
      </c>
      <c r="C1339">
        <v>2024</v>
      </c>
      <c r="D1339">
        <v>356.61</v>
      </c>
      <c r="E1339">
        <v>8</v>
      </c>
      <c r="F1339">
        <v>849642.99</v>
      </c>
      <c r="G1339">
        <v>441.79</v>
      </c>
      <c r="H1339" s="2"/>
    </row>
    <row r="1340" spans="1:8" hidden="1" x14ac:dyDescent="0.25">
      <c r="A1340">
        <v>2023</v>
      </c>
      <c r="B1340" t="s">
        <v>37</v>
      </c>
      <c r="C1340">
        <v>2019</v>
      </c>
      <c r="D1340">
        <v>68.510000000000005</v>
      </c>
      <c r="E1340">
        <v>1</v>
      </c>
      <c r="F1340">
        <v>783023.9</v>
      </c>
      <c r="G1340">
        <v>467.5</v>
      </c>
      <c r="H1340" s="2">
        <f t="shared" ref="H1340" si="221">SUM(E1340:E1345)</f>
        <v>228</v>
      </c>
    </row>
    <row r="1341" spans="1:8" hidden="1" x14ac:dyDescent="0.25">
      <c r="A1341">
        <v>2023</v>
      </c>
      <c r="B1341" t="s">
        <v>37</v>
      </c>
      <c r="C1341">
        <v>2020</v>
      </c>
      <c r="D1341">
        <v>2608.9499999999998</v>
      </c>
      <c r="E1341">
        <v>64</v>
      </c>
      <c r="F1341">
        <v>713777.41</v>
      </c>
      <c r="G1341">
        <v>442.02</v>
      </c>
      <c r="H1341" s="2"/>
    </row>
    <row r="1342" spans="1:8" hidden="1" x14ac:dyDescent="0.25">
      <c r="A1342">
        <v>2023</v>
      </c>
      <c r="B1342" t="s">
        <v>37</v>
      </c>
      <c r="C1342">
        <v>2021</v>
      </c>
      <c r="D1342">
        <v>3971.48</v>
      </c>
      <c r="E1342">
        <v>70</v>
      </c>
      <c r="F1342">
        <v>735810.39</v>
      </c>
      <c r="G1342">
        <v>445.46</v>
      </c>
      <c r="H1342" s="2"/>
    </row>
    <row r="1343" spans="1:8" hidden="1" x14ac:dyDescent="0.25">
      <c r="A1343">
        <v>2023</v>
      </c>
      <c r="B1343" t="s">
        <v>37</v>
      </c>
      <c r="C1343">
        <v>2022</v>
      </c>
      <c r="D1343">
        <v>1798.97</v>
      </c>
      <c r="E1343">
        <v>37</v>
      </c>
      <c r="F1343">
        <v>684647.13</v>
      </c>
      <c r="G1343">
        <v>446.11</v>
      </c>
      <c r="H1343" s="2"/>
    </row>
    <row r="1344" spans="1:8" hidden="1" x14ac:dyDescent="0.25">
      <c r="A1344">
        <v>2023</v>
      </c>
      <c r="B1344" t="s">
        <v>37</v>
      </c>
      <c r="C1344">
        <v>2023</v>
      </c>
      <c r="D1344">
        <v>765.63</v>
      </c>
      <c r="E1344">
        <v>19</v>
      </c>
      <c r="F1344">
        <v>751646.92</v>
      </c>
      <c r="G1344">
        <v>459.68</v>
      </c>
      <c r="H1344" s="2"/>
    </row>
    <row r="1345" spans="1:9" hidden="1" x14ac:dyDescent="0.25">
      <c r="A1345">
        <v>2023</v>
      </c>
      <c r="B1345" t="s">
        <v>37</v>
      </c>
      <c r="C1345">
        <v>2024</v>
      </c>
      <c r="D1345">
        <v>1920.67</v>
      </c>
      <c r="E1345">
        <v>37</v>
      </c>
      <c r="F1345">
        <v>748935.15</v>
      </c>
      <c r="G1345">
        <v>440.49</v>
      </c>
      <c r="H1345" s="2"/>
    </row>
    <row r="1346" spans="1:9" x14ac:dyDescent="0.25">
      <c r="A1346">
        <v>2023</v>
      </c>
      <c r="B1346" t="s">
        <v>38</v>
      </c>
      <c r="C1346">
        <v>2019</v>
      </c>
      <c r="D1346">
        <v>165.38</v>
      </c>
      <c r="E1346">
        <v>4</v>
      </c>
      <c r="F1346">
        <v>854806.92</v>
      </c>
      <c r="G1346">
        <v>469.5</v>
      </c>
      <c r="H1346" s="2">
        <f t="shared" ref="H1346" si="222">SUM(E1346:E1351)</f>
        <v>120</v>
      </c>
      <c r="I1346" s="1">
        <v>2023</v>
      </c>
    </row>
    <row r="1347" spans="1:9" x14ac:dyDescent="0.25">
      <c r="A1347">
        <v>2023</v>
      </c>
      <c r="B1347" t="s">
        <v>38</v>
      </c>
      <c r="C1347">
        <v>2020</v>
      </c>
      <c r="D1347">
        <v>1512.18</v>
      </c>
      <c r="E1347">
        <v>33</v>
      </c>
      <c r="F1347">
        <v>780448.74</v>
      </c>
      <c r="G1347">
        <v>451.97</v>
      </c>
      <c r="H1347" s="2"/>
      <c r="I1347" s="1"/>
    </row>
    <row r="1348" spans="1:9" x14ac:dyDescent="0.25">
      <c r="A1348">
        <v>2023</v>
      </c>
      <c r="B1348" t="s">
        <v>38</v>
      </c>
      <c r="C1348">
        <v>2021</v>
      </c>
      <c r="D1348">
        <v>2002.51</v>
      </c>
      <c r="E1348">
        <v>40</v>
      </c>
      <c r="F1348">
        <v>819184.29</v>
      </c>
      <c r="G1348">
        <v>453.34</v>
      </c>
      <c r="H1348" s="2"/>
      <c r="I1348" s="1"/>
    </row>
    <row r="1349" spans="1:9" x14ac:dyDescent="0.25">
      <c r="A1349">
        <v>2023</v>
      </c>
      <c r="B1349" t="s">
        <v>38</v>
      </c>
      <c r="C1349">
        <v>2022</v>
      </c>
      <c r="D1349">
        <v>766.64</v>
      </c>
      <c r="E1349">
        <v>18</v>
      </c>
      <c r="F1349">
        <v>779603.36</v>
      </c>
      <c r="G1349">
        <v>457.6</v>
      </c>
      <c r="H1349" s="2"/>
      <c r="I1349" s="1"/>
    </row>
    <row r="1350" spans="1:9" x14ac:dyDescent="0.25">
      <c r="A1350">
        <v>2023</v>
      </c>
      <c r="B1350" t="s">
        <v>38</v>
      </c>
      <c r="C1350">
        <v>2023</v>
      </c>
      <c r="D1350">
        <v>895.8</v>
      </c>
      <c r="E1350">
        <v>21</v>
      </c>
      <c r="F1350">
        <v>828369.63</v>
      </c>
      <c r="G1350">
        <v>465.37</v>
      </c>
      <c r="H1350" s="2"/>
      <c r="I1350" s="1"/>
    </row>
    <row r="1351" spans="1:9" x14ac:dyDescent="0.25">
      <c r="A1351">
        <v>2023</v>
      </c>
      <c r="B1351" t="s">
        <v>38</v>
      </c>
      <c r="C1351">
        <v>2024</v>
      </c>
      <c r="D1351">
        <v>229.7</v>
      </c>
      <c r="E1351">
        <v>4</v>
      </c>
      <c r="F1351">
        <v>836004.66</v>
      </c>
      <c r="G1351">
        <v>462.94</v>
      </c>
      <c r="H1351" s="2"/>
      <c r="I1351" s="1"/>
    </row>
    <row r="1352" spans="1:9" hidden="1" x14ac:dyDescent="0.25">
      <c r="A1352">
        <v>2023</v>
      </c>
      <c r="B1352" t="s">
        <v>39</v>
      </c>
      <c r="C1352">
        <v>2019</v>
      </c>
      <c r="D1352">
        <v>1355.08</v>
      </c>
      <c r="E1352">
        <v>23</v>
      </c>
      <c r="F1352">
        <v>799864.94</v>
      </c>
      <c r="G1352">
        <v>313.39</v>
      </c>
      <c r="H1352" s="2">
        <f t="shared" ref="H1352" si="223">SUM(E1352:E1357)</f>
        <v>254</v>
      </c>
    </row>
    <row r="1353" spans="1:9" hidden="1" x14ac:dyDescent="0.25">
      <c r="A1353">
        <v>2023</v>
      </c>
      <c r="B1353" t="s">
        <v>39</v>
      </c>
      <c r="C1353">
        <v>2020</v>
      </c>
      <c r="D1353">
        <v>1985.06</v>
      </c>
      <c r="E1353">
        <v>47</v>
      </c>
      <c r="F1353">
        <v>774025.38</v>
      </c>
      <c r="G1353">
        <v>305.68</v>
      </c>
      <c r="H1353" s="2"/>
    </row>
    <row r="1354" spans="1:9" hidden="1" x14ac:dyDescent="0.25">
      <c r="A1354">
        <v>2023</v>
      </c>
      <c r="B1354" t="s">
        <v>39</v>
      </c>
      <c r="C1354">
        <v>2021</v>
      </c>
      <c r="D1354">
        <v>1625.01</v>
      </c>
      <c r="E1354">
        <v>46</v>
      </c>
      <c r="F1354">
        <v>792004.68</v>
      </c>
      <c r="G1354">
        <v>308.64</v>
      </c>
      <c r="H1354" s="2"/>
    </row>
    <row r="1355" spans="1:9" hidden="1" x14ac:dyDescent="0.25">
      <c r="A1355">
        <v>2023</v>
      </c>
      <c r="B1355" t="s">
        <v>39</v>
      </c>
      <c r="C1355">
        <v>2022</v>
      </c>
      <c r="D1355">
        <v>2336.17</v>
      </c>
      <c r="E1355">
        <v>54</v>
      </c>
      <c r="F1355">
        <v>775746.19</v>
      </c>
      <c r="G1355">
        <v>305.48</v>
      </c>
      <c r="H1355" s="2"/>
    </row>
    <row r="1356" spans="1:9" hidden="1" x14ac:dyDescent="0.25">
      <c r="A1356">
        <v>2023</v>
      </c>
      <c r="B1356" t="s">
        <v>39</v>
      </c>
      <c r="C1356">
        <v>2023</v>
      </c>
      <c r="D1356">
        <v>558.6</v>
      </c>
      <c r="E1356">
        <v>13</v>
      </c>
      <c r="F1356">
        <v>795857.28</v>
      </c>
      <c r="G1356">
        <v>314.86</v>
      </c>
      <c r="H1356" s="2"/>
    </row>
    <row r="1357" spans="1:9" hidden="1" x14ac:dyDescent="0.25">
      <c r="A1357">
        <v>2023</v>
      </c>
      <c r="B1357" t="s">
        <v>39</v>
      </c>
      <c r="C1357">
        <v>2024</v>
      </c>
      <c r="D1357">
        <v>3439.03</v>
      </c>
      <c r="E1357">
        <v>71</v>
      </c>
      <c r="F1357">
        <v>785236.59</v>
      </c>
      <c r="G1357">
        <v>306.70999999999998</v>
      </c>
      <c r="H1357" s="2"/>
    </row>
    <row r="1358" spans="1:9" hidden="1" x14ac:dyDescent="0.25">
      <c r="A1358">
        <v>2023</v>
      </c>
      <c r="B1358" t="s">
        <v>40</v>
      </c>
      <c r="C1358">
        <v>2019</v>
      </c>
      <c r="D1358">
        <v>396.47</v>
      </c>
      <c r="E1358">
        <v>11</v>
      </c>
      <c r="F1358">
        <v>815860.54</v>
      </c>
      <c r="G1358">
        <v>436.03</v>
      </c>
      <c r="H1358" s="2">
        <f t="shared" ref="H1358" si="224">SUM(E1358:E1363)</f>
        <v>63</v>
      </c>
    </row>
    <row r="1359" spans="1:9" hidden="1" x14ac:dyDescent="0.25">
      <c r="A1359">
        <v>2023</v>
      </c>
      <c r="B1359" t="s">
        <v>40</v>
      </c>
      <c r="C1359">
        <v>2020</v>
      </c>
      <c r="D1359">
        <v>395.99</v>
      </c>
      <c r="E1359">
        <v>6</v>
      </c>
      <c r="F1359">
        <v>790118.88</v>
      </c>
      <c r="G1359">
        <v>430.85</v>
      </c>
      <c r="H1359" s="2"/>
    </row>
    <row r="1360" spans="1:9" hidden="1" x14ac:dyDescent="0.25">
      <c r="A1360">
        <v>2023</v>
      </c>
      <c r="B1360" t="s">
        <v>40</v>
      </c>
      <c r="C1360">
        <v>2021</v>
      </c>
      <c r="D1360">
        <v>787.75</v>
      </c>
      <c r="E1360">
        <v>21</v>
      </c>
      <c r="F1360">
        <v>813474.99</v>
      </c>
      <c r="G1360">
        <v>430.22</v>
      </c>
      <c r="H1360" s="2"/>
    </row>
    <row r="1361" spans="1:8" hidden="1" x14ac:dyDescent="0.25">
      <c r="A1361">
        <v>2023</v>
      </c>
      <c r="B1361" t="s">
        <v>40</v>
      </c>
      <c r="C1361">
        <v>2022</v>
      </c>
      <c r="D1361">
        <v>509.67</v>
      </c>
      <c r="E1361">
        <v>11</v>
      </c>
      <c r="F1361">
        <v>782107.25</v>
      </c>
      <c r="G1361">
        <v>424.96</v>
      </c>
      <c r="H1361" s="2"/>
    </row>
    <row r="1362" spans="1:8" hidden="1" x14ac:dyDescent="0.25">
      <c r="A1362">
        <v>2023</v>
      </c>
      <c r="B1362" t="s">
        <v>40</v>
      </c>
      <c r="C1362">
        <v>2023</v>
      </c>
      <c r="D1362">
        <v>484.74</v>
      </c>
      <c r="E1362">
        <v>13</v>
      </c>
      <c r="F1362">
        <v>817980.45</v>
      </c>
      <c r="G1362">
        <v>429.21</v>
      </c>
      <c r="H1362" s="2"/>
    </row>
    <row r="1363" spans="1:8" hidden="1" x14ac:dyDescent="0.25">
      <c r="A1363">
        <v>2023</v>
      </c>
      <c r="B1363" t="s">
        <v>40</v>
      </c>
      <c r="C1363">
        <v>2024</v>
      </c>
      <c r="D1363">
        <v>24.64</v>
      </c>
      <c r="E1363">
        <v>1</v>
      </c>
      <c r="F1363">
        <v>811714.52</v>
      </c>
      <c r="G1363">
        <v>436.17</v>
      </c>
      <c r="H1363" s="2"/>
    </row>
    <row r="1364" spans="1:8" hidden="1" x14ac:dyDescent="0.25">
      <c r="A1364">
        <v>2023</v>
      </c>
      <c r="B1364" t="s">
        <v>41</v>
      </c>
      <c r="C1364">
        <v>2019</v>
      </c>
      <c r="D1364">
        <v>0</v>
      </c>
      <c r="E1364">
        <v>0</v>
      </c>
      <c r="F1364">
        <v>670846.54</v>
      </c>
      <c r="G1364">
        <v>400.18</v>
      </c>
      <c r="H1364" s="2">
        <f t="shared" ref="H1364" si="225">SUM(E1364:E1369)</f>
        <v>45</v>
      </c>
    </row>
    <row r="1365" spans="1:8" hidden="1" x14ac:dyDescent="0.25">
      <c r="A1365">
        <v>2023</v>
      </c>
      <c r="B1365" t="s">
        <v>41</v>
      </c>
      <c r="C1365">
        <v>2020</v>
      </c>
      <c r="D1365">
        <v>329.14</v>
      </c>
      <c r="E1365">
        <v>8</v>
      </c>
      <c r="F1365">
        <v>648363.31999999995</v>
      </c>
      <c r="G1365">
        <v>394.64</v>
      </c>
      <c r="H1365" s="2"/>
    </row>
    <row r="1366" spans="1:8" hidden="1" x14ac:dyDescent="0.25">
      <c r="A1366">
        <v>2023</v>
      </c>
      <c r="B1366" t="s">
        <v>41</v>
      </c>
      <c r="C1366">
        <v>2021</v>
      </c>
      <c r="D1366">
        <v>8.4700000000000006</v>
      </c>
      <c r="E1366">
        <v>1</v>
      </c>
      <c r="F1366">
        <v>655461.56999999995</v>
      </c>
      <c r="G1366">
        <v>397.76</v>
      </c>
      <c r="H1366" s="2"/>
    </row>
    <row r="1367" spans="1:8" hidden="1" x14ac:dyDescent="0.25">
      <c r="A1367">
        <v>2023</v>
      </c>
      <c r="B1367" t="s">
        <v>41</v>
      </c>
      <c r="C1367">
        <v>2022</v>
      </c>
      <c r="D1367">
        <v>294.32</v>
      </c>
      <c r="E1367">
        <v>6</v>
      </c>
      <c r="F1367">
        <v>631558.96</v>
      </c>
      <c r="G1367">
        <v>394.41</v>
      </c>
      <c r="H1367" s="2"/>
    </row>
    <row r="1368" spans="1:8" hidden="1" x14ac:dyDescent="0.25">
      <c r="A1368">
        <v>2023</v>
      </c>
      <c r="B1368" t="s">
        <v>41</v>
      </c>
      <c r="C1368">
        <v>2023</v>
      </c>
      <c r="D1368">
        <v>767.55</v>
      </c>
      <c r="E1368">
        <v>13</v>
      </c>
      <c r="F1368">
        <v>656247.96</v>
      </c>
      <c r="G1368">
        <v>395.4</v>
      </c>
      <c r="H1368" s="2"/>
    </row>
    <row r="1369" spans="1:8" hidden="1" x14ac:dyDescent="0.25">
      <c r="A1369">
        <v>2023</v>
      </c>
      <c r="B1369" t="s">
        <v>41</v>
      </c>
      <c r="C1369">
        <v>2024</v>
      </c>
      <c r="D1369">
        <v>866.39</v>
      </c>
      <c r="E1369">
        <v>17</v>
      </c>
      <c r="F1369">
        <v>646451.59</v>
      </c>
      <c r="G1369">
        <v>390.65</v>
      </c>
      <c r="H1369" s="2"/>
    </row>
    <row r="1370" spans="1:8" hidden="1" x14ac:dyDescent="0.25">
      <c r="A1370">
        <v>2023</v>
      </c>
      <c r="B1370" t="s">
        <v>42</v>
      </c>
      <c r="C1370">
        <v>2019</v>
      </c>
      <c r="D1370">
        <v>198.36</v>
      </c>
      <c r="E1370">
        <v>6</v>
      </c>
      <c r="F1370">
        <v>647483.79</v>
      </c>
      <c r="G1370">
        <v>345.72</v>
      </c>
      <c r="H1370" s="2">
        <f t="shared" ref="H1370" si="226">SUM(E1370:E1375)</f>
        <v>69</v>
      </c>
    </row>
    <row r="1371" spans="1:8" hidden="1" x14ac:dyDescent="0.25">
      <c r="A1371">
        <v>2023</v>
      </c>
      <c r="B1371" t="s">
        <v>42</v>
      </c>
      <c r="C1371">
        <v>2020</v>
      </c>
      <c r="D1371">
        <v>503.96</v>
      </c>
      <c r="E1371">
        <v>11</v>
      </c>
      <c r="F1371">
        <v>629894.53</v>
      </c>
      <c r="G1371">
        <v>339.39</v>
      </c>
      <c r="H1371" s="2"/>
    </row>
    <row r="1372" spans="1:8" hidden="1" x14ac:dyDescent="0.25">
      <c r="A1372">
        <v>2023</v>
      </c>
      <c r="B1372" t="s">
        <v>42</v>
      </c>
      <c r="C1372">
        <v>2021</v>
      </c>
      <c r="D1372">
        <v>106.02</v>
      </c>
      <c r="E1372">
        <v>3</v>
      </c>
      <c r="F1372">
        <v>630797.02</v>
      </c>
      <c r="G1372">
        <v>341.48</v>
      </c>
      <c r="H1372" s="2"/>
    </row>
    <row r="1373" spans="1:8" hidden="1" x14ac:dyDescent="0.25">
      <c r="A1373">
        <v>2023</v>
      </c>
      <c r="B1373" t="s">
        <v>42</v>
      </c>
      <c r="C1373">
        <v>2022</v>
      </c>
      <c r="D1373">
        <v>455.46</v>
      </c>
      <c r="E1373">
        <v>9</v>
      </c>
      <c r="F1373">
        <v>611708.14</v>
      </c>
      <c r="G1373">
        <v>338.64</v>
      </c>
      <c r="H1373" s="2"/>
    </row>
    <row r="1374" spans="1:8" hidden="1" x14ac:dyDescent="0.25">
      <c r="A1374">
        <v>2023</v>
      </c>
      <c r="B1374" t="s">
        <v>42</v>
      </c>
      <c r="C1374">
        <v>2023</v>
      </c>
      <c r="D1374">
        <v>964.6</v>
      </c>
      <c r="E1374">
        <v>16</v>
      </c>
      <c r="F1374">
        <v>631036.30000000005</v>
      </c>
      <c r="G1374">
        <v>340.04</v>
      </c>
      <c r="H1374" s="2"/>
    </row>
    <row r="1375" spans="1:8" hidden="1" x14ac:dyDescent="0.25">
      <c r="A1375">
        <v>2023</v>
      </c>
      <c r="B1375" t="s">
        <v>42</v>
      </c>
      <c r="C1375">
        <v>2024</v>
      </c>
      <c r="D1375">
        <v>1256.73</v>
      </c>
      <c r="E1375">
        <v>24</v>
      </c>
      <c r="F1375">
        <v>622991.12</v>
      </c>
      <c r="G1375">
        <v>336.72</v>
      </c>
      <c r="H1375" s="2"/>
    </row>
    <row r="1376" spans="1:8" hidden="1" x14ac:dyDescent="0.25">
      <c r="A1376">
        <v>2023</v>
      </c>
      <c r="B1376" t="s">
        <v>43</v>
      </c>
      <c r="C1376">
        <v>2019</v>
      </c>
      <c r="D1376">
        <v>162.69</v>
      </c>
      <c r="E1376">
        <v>6</v>
      </c>
      <c r="F1376">
        <v>742357.98</v>
      </c>
      <c r="G1376">
        <v>287.92</v>
      </c>
      <c r="H1376" s="2">
        <f t="shared" ref="H1376" si="227">SUM(E1376:E1381)</f>
        <v>102</v>
      </c>
    </row>
    <row r="1377" spans="1:8" hidden="1" x14ac:dyDescent="0.25">
      <c r="A1377">
        <v>2023</v>
      </c>
      <c r="B1377" t="s">
        <v>43</v>
      </c>
      <c r="C1377">
        <v>2020</v>
      </c>
      <c r="D1377">
        <v>701.13</v>
      </c>
      <c r="E1377">
        <v>19</v>
      </c>
      <c r="F1377">
        <v>725704.31</v>
      </c>
      <c r="G1377">
        <v>285.47000000000003</v>
      </c>
      <c r="H1377" s="2"/>
    </row>
    <row r="1378" spans="1:8" hidden="1" x14ac:dyDescent="0.25">
      <c r="A1378">
        <v>2023</v>
      </c>
      <c r="B1378" t="s">
        <v>43</v>
      </c>
      <c r="C1378">
        <v>2021</v>
      </c>
      <c r="D1378">
        <v>585.58000000000004</v>
      </c>
      <c r="E1378">
        <v>23</v>
      </c>
      <c r="F1378">
        <v>733434.61</v>
      </c>
      <c r="G1378">
        <v>287.77</v>
      </c>
      <c r="H1378" s="2"/>
    </row>
    <row r="1379" spans="1:8" hidden="1" x14ac:dyDescent="0.25">
      <c r="A1379">
        <v>2023</v>
      </c>
      <c r="B1379" t="s">
        <v>43</v>
      </c>
      <c r="C1379">
        <v>2022</v>
      </c>
      <c r="D1379">
        <v>166.13</v>
      </c>
      <c r="E1379">
        <v>8</v>
      </c>
      <c r="F1379">
        <v>719267.09</v>
      </c>
      <c r="G1379">
        <v>287.37</v>
      </c>
      <c r="H1379" s="2"/>
    </row>
    <row r="1380" spans="1:8" hidden="1" x14ac:dyDescent="0.25">
      <c r="A1380">
        <v>2023</v>
      </c>
      <c r="B1380" t="s">
        <v>43</v>
      </c>
      <c r="C1380">
        <v>2023</v>
      </c>
      <c r="D1380">
        <v>773.18</v>
      </c>
      <c r="E1380">
        <v>21</v>
      </c>
      <c r="F1380">
        <v>739384.28</v>
      </c>
      <c r="G1380">
        <v>286.24</v>
      </c>
      <c r="H1380" s="2"/>
    </row>
    <row r="1381" spans="1:8" hidden="1" x14ac:dyDescent="0.25">
      <c r="A1381">
        <v>2023</v>
      </c>
      <c r="B1381" t="s">
        <v>43</v>
      </c>
      <c r="C1381">
        <v>2024</v>
      </c>
      <c r="D1381">
        <v>687.72</v>
      </c>
      <c r="E1381">
        <v>25</v>
      </c>
      <c r="F1381">
        <v>729882.32</v>
      </c>
      <c r="G1381">
        <v>286.89999999999998</v>
      </c>
      <c r="H1381" s="2"/>
    </row>
    <row r="1382" spans="1:8" hidden="1" x14ac:dyDescent="0.25">
      <c r="A1382">
        <v>2023</v>
      </c>
      <c r="B1382" t="s">
        <v>44</v>
      </c>
      <c r="C1382">
        <v>2019</v>
      </c>
      <c r="D1382">
        <v>12.85</v>
      </c>
      <c r="E1382">
        <v>1</v>
      </c>
      <c r="F1382">
        <v>748676.34</v>
      </c>
      <c r="G1382">
        <v>300.99</v>
      </c>
      <c r="H1382" s="2">
        <f t="shared" ref="H1382" si="228">SUM(E1382:E1387)</f>
        <v>60</v>
      </c>
    </row>
    <row r="1383" spans="1:8" hidden="1" x14ac:dyDescent="0.25">
      <c r="A1383">
        <v>2023</v>
      </c>
      <c r="B1383" t="s">
        <v>44</v>
      </c>
      <c r="C1383">
        <v>2020</v>
      </c>
      <c r="D1383">
        <v>301.70999999999998</v>
      </c>
      <c r="E1383">
        <v>7</v>
      </c>
      <c r="F1383">
        <v>729681.2</v>
      </c>
      <c r="G1383">
        <v>296.56</v>
      </c>
      <c r="H1383" s="2"/>
    </row>
    <row r="1384" spans="1:8" hidden="1" x14ac:dyDescent="0.25">
      <c r="A1384">
        <v>2023</v>
      </c>
      <c r="B1384" t="s">
        <v>44</v>
      </c>
      <c r="C1384">
        <v>2021</v>
      </c>
      <c r="D1384">
        <v>13.69</v>
      </c>
      <c r="E1384">
        <v>3</v>
      </c>
      <c r="F1384">
        <v>730506.35</v>
      </c>
      <c r="G1384">
        <v>298.5</v>
      </c>
      <c r="H1384" s="2"/>
    </row>
    <row r="1385" spans="1:8" hidden="1" x14ac:dyDescent="0.25">
      <c r="A1385">
        <v>2023</v>
      </c>
      <c r="B1385" t="s">
        <v>44</v>
      </c>
      <c r="C1385">
        <v>2022</v>
      </c>
      <c r="D1385">
        <v>476.4</v>
      </c>
      <c r="E1385">
        <v>12</v>
      </c>
      <c r="F1385">
        <v>712935.58</v>
      </c>
      <c r="G1385">
        <v>296.63</v>
      </c>
      <c r="H1385" s="2"/>
    </row>
    <row r="1386" spans="1:8" hidden="1" x14ac:dyDescent="0.25">
      <c r="A1386">
        <v>2023</v>
      </c>
      <c r="B1386" t="s">
        <v>44</v>
      </c>
      <c r="C1386">
        <v>2023</v>
      </c>
      <c r="D1386">
        <v>748.69</v>
      </c>
      <c r="E1386">
        <v>18</v>
      </c>
      <c r="F1386">
        <v>735908.35</v>
      </c>
      <c r="G1386">
        <v>298.04000000000002</v>
      </c>
      <c r="H1386" s="2"/>
    </row>
    <row r="1387" spans="1:8" hidden="1" x14ac:dyDescent="0.25">
      <c r="A1387">
        <v>2023</v>
      </c>
      <c r="B1387" t="s">
        <v>44</v>
      </c>
      <c r="C1387">
        <v>2024</v>
      </c>
      <c r="D1387">
        <v>658.3</v>
      </c>
      <c r="E1387">
        <v>19</v>
      </c>
      <c r="F1387">
        <v>723899.97</v>
      </c>
      <c r="G1387">
        <v>297.17</v>
      </c>
      <c r="H1387" s="2"/>
    </row>
    <row r="1388" spans="1:8" hidden="1" x14ac:dyDescent="0.25">
      <c r="A1388">
        <v>2023</v>
      </c>
      <c r="B1388" t="s">
        <v>45</v>
      </c>
      <c r="C1388">
        <v>2019</v>
      </c>
      <c r="D1388">
        <v>270.51</v>
      </c>
      <c r="E1388">
        <v>6</v>
      </c>
      <c r="F1388">
        <v>768538.22</v>
      </c>
      <c r="G1388">
        <v>485.31</v>
      </c>
      <c r="H1388" s="2">
        <f t="shared" ref="H1388" si="229">SUM(E1388:E1393)</f>
        <v>81</v>
      </c>
    </row>
    <row r="1389" spans="1:8" hidden="1" x14ac:dyDescent="0.25">
      <c r="A1389">
        <v>2023</v>
      </c>
      <c r="B1389" t="s">
        <v>45</v>
      </c>
      <c r="C1389">
        <v>2020</v>
      </c>
      <c r="D1389">
        <v>575.80999999999995</v>
      </c>
      <c r="E1389">
        <v>13</v>
      </c>
      <c r="F1389">
        <v>757685.48</v>
      </c>
      <c r="G1389">
        <v>483.46</v>
      </c>
      <c r="H1389" s="2"/>
    </row>
    <row r="1390" spans="1:8" hidden="1" x14ac:dyDescent="0.25">
      <c r="A1390">
        <v>2023</v>
      </c>
      <c r="B1390" t="s">
        <v>45</v>
      </c>
      <c r="C1390">
        <v>2021</v>
      </c>
      <c r="D1390">
        <v>66.98</v>
      </c>
      <c r="E1390">
        <v>1</v>
      </c>
      <c r="F1390">
        <v>751370.17</v>
      </c>
      <c r="G1390">
        <v>485.21</v>
      </c>
      <c r="H1390" s="2"/>
    </row>
    <row r="1391" spans="1:8" hidden="1" x14ac:dyDescent="0.25">
      <c r="A1391">
        <v>2023</v>
      </c>
      <c r="B1391" t="s">
        <v>45</v>
      </c>
      <c r="C1391">
        <v>2022</v>
      </c>
      <c r="D1391">
        <v>1741.96</v>
      </c>
      <c r="E1391">
        <v>27</v>
      </c>
      <c r="F1391">
        <v>750250.04</v>
      </c>
      <c r="G1391">
        <v>480.14</v>
      </c>
      <c r="H1391" s="2"/>
    </row>
    <row r="1392" spans="1:8" hidden="1" x14ac:dyDescent="0.25">
      <c r="A1392">
        <v>2023</v>
      </c>
      <c r="B1392" t="s">
        <v>45</v>
      </c>
      <c r="C1392">
        <v>2023</v>
      </c>
      <c r="D1392">
        <v>432.54</v>
      </c>
      <c r="E1392">
        <v>8</v>
      </c>
      <c r="F1392">
        <v>737212.06</v>
      </c>
      <c r="G1392">
        <v>484.6</v>
      </c>
      <c r="H1392" s="2"/>
    </row>
    <row r="1393" spans="1:8" hidden="1" x14ac:dyDescent="0.25">
      <c r="A1393">
        <v>2023</v>
      </c>
      <c r="B1393" t="s">
        <v>45</v>
      </c>
      <c r="C1393">
        <v>2024</v>
      </c>
      <c r="D1393">
        <v>1534.43</v>
      </c>
      <c r="E1393">
        <v>26</v>
      </c>
      <c r="F1393">
        <v>722461.16</v>
      </c>
      <c r="G1393">
        <v>477.54</v>
      </c>
      <c r="H1393" s="2"/>
    </row>
    <row r="1394" spans="1:8" hidden="1" x14ac:dyDescent="0.25">
      <c r="A1394">
        <v>2023</v>
      </c>
      <c r="B1394" t="s">
        <v>46</v>
      </c>
      <c r="C1394">
        <v>2019</v>
      </c>
      <c r="D1394">
        <v>128.66</v>
      </c>
      <c r="E1394">
        <v>10</v>
      </c>
      <c r="F1394">
        <v>644492.72</v>
      </c>
      <c r="G1394">
        <v>337.28</v>
      </c>
      <c r="H1394" s="2">
        <f t="shared" ref="H1394" si="230">SUM(E1394:E1399)</f>
        <v>149</v>
      </c>
    </row>
    <row r="1395" spans="1:8" hidden="1" x14ac:dyDescent="0.25">
      <c r="A1395">
        <v>2023</v>
      </c>
      <c r="B1395" t="s">
        <v>46</v>
      </c>
      <c r="C1395">
        <v>2020</v>
      </c>
      <c r="D1395">
        <v>1212.76</v>
      </c>
      <c r="E1395">
        <v>38</v>
      </c>
      <c r="F1395">
        <v>611693.18999999994</v>
      </c>
      <c r="G1395">
        <v>327.26</v>
      </c>
      <c r="H1395" s="2"/>
    </row>
    <row r="1396" spans="1:8" hidden="1" x14ac:dyDescent="0.25">
      <c r="A1396">
        <v>2023</v>
      </c>
      <c r="B1396" t="s">
        <v>46</v>
      </c>
      <c r="C1396">
        <v>2021</v>
      </c>
      <c r="D1396">
        <v>1849.55</v>
      </c>
      <c r="E1396">
        <v>37</v>
      </c>
      <c r="F1396">
        <v>611895.66</v>
      </c>
      <c r="G1396">
        <v>325.75</v>
      </c>
      <c r="H1396" s="2"/>
    </row>
    <row r="1397" spans="1:8" hidden="1" x14ac:dyDescent="0.25">
      <c r="A1397">
        <v>2023</v>
      </c>
      <c r="B1397" t="s">
        <v>46</v>
      </c>
      <c r="C1397">
        <v>2022</v>
      </c>
      <c r="D1397">
        <v>1944.29</v>
      </c>
      <c r="E1397">
        <v>43</v>
      </c>
      <c r="F1397">
        <v>615317.42000000004</v>
      </c>
      <c r="G1397">
        <v>326.62</v>
      </c>
      <c r="H1397" s="2"/>
    </row>
    <row r="1398" spans="1:8" hidden="1" x14ac:dyDescent="0.25">
      <c r="A1398">
        <v>2023</v>
      </c>
      <c r="B1398" t="s">
        <v>46</v>
      </c>
      <c r="C1398">
        <v>2023</v>
      </c>
      <c r="D1398">
        <v>53.28</v>
      </c>
      <c r="E1398">
        <v>6</v>
      </c>
      <c r="F1398">
        <v>631034.74</v>
      </c>
      <c r="G1398">
        <v>334.86</v>
      </c>
      <c r="H1398" s="2"/>
    </row>
    <row r="1399" spans="1:8" hidden="1" x14ac:dyDescent="0.25">
      <c r="A1399">
        <v>2023</v>
      </c>
      <c r="B1399" t="s">
        <v>46</v>
      </c>
      <c r="C1399">
        <v>2024</v>
      </c>
      <c r="D1399">
        <v>195.83</v>
      </c>
      <c r="E1399">
        <v>15</v>
      </c>
      <c r="F1399">
        <v>599308.06999999995</v>
      </c>
      <c r="G1399">
        <v>323</v>
      </c>
      <c r="H1399" s="2"/>
    </row>
    <row r="1400" spans="1:8" hidden="1" x14ac:dyDescent="0.25">
      <c r="A1400">
        <v>2023</v>
      </c>
      <c r="B1400" t="s">
        <v>47</v>
      </c>
      <c r="C1400">
        <v>2019</v>
      </c>
      <c r="D1400">
        <v>209.63</v>
      </c>
      <c r="E1400">
        <v>7</v>
      </c>
      <c r="F1400">
        <v>714935.89</v>
      </c>
      <c r="G1400">
        <v>344.42</v>
      </c>
      <c r="H1400" s="2">
        <f t="shared" ref="H1400" si="231">SUM(E1400:E1405)</f>
        <v>108</v>
      </c>
    </row>
    <row r="1401" spans="1:8" hidden="1" x14ac:dyDescent="0.25">
      <c r="A1401">
        <v>2023</v>
      </c>
      <c r="B1401" t="s">
        <v>47</v>
      </c>
      <c r="C1401">
        <v>2020</v>
      </c>
      <c r="D1401">
        <v>600.37</v>
      </c>
      <c r="E1401">
        <v>14</v>
      </c>
      <c r="F1401">
        <v>678650.23</v>
      </c>
      <c r="G1401">
        <v>341.29</v>
      </c>
      <c r="H1401" s="2"/>
    </row>
    <row r="1402" spans="1:8" hidden="1" x14ac:dyDescent="0.25">
      <c r="A1402">
        <v>2023</v>
      </c>
      <c r="B1402" t="s">
        <v>47</v>
      </c>
      <c r="C1402">
        <v>2021</v>
      </c>
      <c r="D1402">
        <v>1102.7</v>
      </c>
      <c r="E1402">
        <v>25</v>
      </c>
      <c r="F1402">
        <v>687684.54</v>
      </c>
      <c r="G1402">
        <v>341.16</v>
      </c>
      <c r="H1402" s="2"/>
    </row>
    <row r="1403" spans="1:8" hidden="1" x14ac:dyDescent="0.25">
      <c r="A1403">
        <v>2023</v>
      </c>
      <c r="B1403" t="s">
        <v>47</v>
      </c>
      <c r="C1403">
        <v>2022</v>
      </c>
      <c r="D1403">
        <v>1379.73</v>
      </c>
      <c r="E1403">
        <v>29</v>
      </c>
      <c r="F1403">
        <v>681531.49</v>
      </c>
      <c r="G1403">
        <v>339.45</v>
      </c>
      <c r="H1403" s="2"/>
    </row>
    <row r="1404" spans="1:8" hidden="1" x14ac:dyDescent="0.25">
      <c r="A1404">
        <v>2023</v>
      </c>
      <c r="B1404" t="s">
        <v>47</v>
      </c>
      <c r="C1404">
        <v>2023</v>
      </c>
      <c r="D1404">
        <v>333.77</v>
      </c>
      <c r="E1404">
        <v>10</v>
      </c>
      <c r="F1404">
        <v>703324.25</v>
      </c>
      <c r="G1404">
        <v>343.73</v>
      </c>
      <c r="H1404" s="2"/>
    </row>
    <row r="1405" spans="1:8" hidden="1" x14ac:dyDescent="0.25">
      <c r="A1405">
        <v>2023</v>
      </c>
      <c r="B1405" t="s">
        <v>47</v>
      </c>
      <c r="C1405">
        <v>2024</v>
      </c>
      <c r="D1405">
        <v>682.55</v>
      </c>
      <c r="E1405">
        <v>23</v>
      </c>
      <c r="F1405">
        <v>666141.34</v>
      </c>
      <c r="G1405">
        <v>335.98</v>
      </c>
      <c r="H1405" s="2"/>
    </row>
    <row r="1406" spans="1:8" hidden="1" x14ac:dyDescent="0.25">
      <c r="A1406">
        <v>2023</v>
      </c>
      <c r="B1406" t="s">
        <v>48</v>
      </c>
      <c r="C1406">
        <v>2019</v>
      </c>
      <c r="D1406">
        <v>875.46</v>
      </c>
      <c r="E1406">
        <v>17</v>
      </c>
      <c r="F1406">
        <v>682642.2</v>
      </c>
      <c r="G1406">
        <v>480.43</v>
      </c>
      <c r="H1406" s="2">
        <f t="shared" ref="H1406" si="232">SUM(E1406:E1411)</f>
        <v>92</v>
      </c>
    </row>
    <row r="1407" spans="1:8" hidden="1" x14ac:dyDescent="0.25">
      <c r="A1407">
        <v>2023</v>
      </c>
      <c r="B1407" t="s">
        <v>48</v>
      </c>
      <c r="C1407">
        <v>2020</v>
      </c>
      <c r="D1407">
        <v>1003.46</v>
      </c>
      <c r="E1407">
        <v>17</v>
      </c>
      <c r="F1407">
        <v>661322.25</v>
      </c>
      <c r="G1407">
        <v>478.42</v>
      </c>
      <c r="H1407" s="2"/>
    </row>
    <row r="1408" spans="1:8" hidden="1" x14ac:dyDescent="0.25">
      <c r="A1408">
        <v>2023</v>
      </c>
      <c r="B1408" t="s">
        <v>48</v>
      </c>
      <c r="C1408">
        <v>2021</v>
      </c>
      <c r="D1408">
        <v>104.51</v>
      </c>
      <c r="E1408">
        <v>3</v>
      </c>
      <c r="F1408">
        <v>669914.61</v>
      </c>
      <c r="G1408">
        <v>474.61</v>
      </c>
      <c r="H1408" s="2"/>
    </row>
    <row r="1409" spans="1:8" hidden="1" x14ac:dyDescent="0.25">
      <c r="A1409">
        <v>2023</v>
      </c>
      <c r="B1409" t="s">
        <v>48</v>
      </c>
      <c r="C1409">
        <v>2022</v>
      </c>
      <c r="D1409">
        <v>613.29999999999995</v>
      </c>
      <c r="E1409">
        <v>16</v>
      </c>
      <c r="F1409">
        <v>638833.55000000005</v>
      </c>
      <c r="G1409">
        <v>471.54</v>
      </c>
      <c r="H1409" s="2"/>
    </row>
    <row r="1410" spans="1:8" hidden="1" x14ac:dyDescent="0.25">
      <c r="A1410">
        <v>2023</v>
      </c>
      <c r="B1410" t="s">
        <v>48</v>
      </c>
      <c r="C1410">
        <v>2023</v>
      </c>
      <c r="D1410">
        <v>778.12</v>
      </c>
      <c r="E1410">
        <v>13</v>
      </c>
      <c r="F1410">
        <v>664277.5</v>
      </c>
      <c r="G1410">
        <v>481.24</v>
      </c>
      <c r="H1410" s="2"/>
    </row>
    <row r="1411" spans="1:8" hidden="1" x14ac:dyDescent="0.25">
      <c r="A1411">
        <v>2023</v>
      </c>
      <c r="B1411" t="s">
        <v>48</v>
      </c>
      <c r="C1411">
        <v>2024</v>
      </c>
      <c r="D1411">
        <v>1249.8499999999999</v>
      </c>
      <c r="E1411">
        <v>26</v>
      </c>
      <c r="F1411">
        <v>670085.31999999995</v>
      </c>
      <c r="G1411">
        <v>474.35</v>
      </c>
      <c r="H1411" s="2"/>
    </row>
    <row r="1412" spans="1:8" hidden="1" x14ac:dyDescent="0.25">
      <c r="A1412">
        <v>2023</v>
      </c>
      <c r="B1412" t="s">
        <v>49</v>
      </c>
      <c r="C1412">
        <v>2019</v>
      </c>
      <c r="D1412">
        <v>606.74</v>
      </c>
      <c r="E1412">
        <v>14</v>
      </c>
      <c r="F1412">
        <v>723084.5</v>
      </c>
      <c r="G1412">
        <v>432.64</v>
      </c>
      <c r="H1412" s="2">
        <f t="shared" ref="H1412" si="233">SUM(E1412:E1417)</f>
        <v>98</v>
      </c>
    </row>
    <row r="1413" spans="1:8" hidden="1" x14ac:dyDescent="0.25">
      <c r="A1413">
        <v>2023</v>
      </c>
      <c r="B1413" t="s">
        <v>49</v>
      </c>
      <c r="C1413">
        <v>2020</v>
      </c>
      <c r="D1413">
        <v>467.9</v>
      </c>
      <c r="E1413">
        <v>10</v>
      </c>
      <c r="F1413">
        <v>704714.74</v>
      </c>
      <c r="G1413">
        <v>436.72</v>
      </c>
      <c r="H1413" s="2"/>
    </row>
    <row r="1414" spans="1:8" hidden="1" x14ac:dyDescent="0.25">
      <c r="A1414">
        <v>2023</v>
      </c>
      <c r="B1414" t="s">
        <v>49</v>
      </c>
      <c r="C1414">
        <v>2021</v>
      </c>
      <c r="D1414">
        <v>416.36</v>
      </c>
      <c r="E1414">
        <v>8</v>
      </c>
      <c r="F1414">
        <v>711924.33</v>
      </c>
      <c r="G1414">
        <v>434.25</v>
      </c>
      <c r="H1414" s="2"/>
    </row>
    <row r="1415" spans="1:8" hidden="1" x14ac:dyDescent="0.25">
      <c r="A1415">
        <v>2023</v>
      </c>
      <c r="B1415" t="s">
        <v>49</v>
      </c>
      <c r="C1415">
        <v>2022</v>
      </c>
      <c r="D1415">
        <v>453.76</v>
      </c>
      <c r="E1415">
        <v>14</v>
      </c>
      <c r="F1415">
        <v>680916.05</v>
      </c>
      <c r="G1415">
        <v>429.77</v>
      </c>
      <c r="H1415" s="2"/>
    </row>
    <row r="1416" spans="1:8" hidden="1" x14ac:dyDescent="0.25">
      <c r="A1416">
        <v>2023</v>
      </c>
      <c r="B1416" t="s">
        <v>49</v>
      </c>
      <c r="C1416">
        <v>2023</v>
      </c>
      <c r="D1416">
        <v>557.55999999999995</v>
      </c>
      <c r="E1416">
        <v>11</v>
      </c>
      <c r="F1416">
        <v>708833.05</v>
      </c>
      <c r="G1416">
        <v>435.22</v>
      </c>
      <c r="H1416" s="2"/>
    </row>
    <row r="1417" spans="1:8" hidden="1" x14ac:dyDescent="0.25">
      <c r="A1417">
        <v>2023</v>
      </c>
      <c r="B1417" t="s">
        <v>49</v>
      </c>
      <c r="C1417">
        <v>2024</v>
      </c>
      <c r="D1417">
        <v>1742.83</v>
      </c>
      <c r="E1417">
        <v>41</v>
      </c>
      <c r="F1417">
        <v>707803.33</v>
      </c>
      <c r="G1417">
        <v>429.77</v>
      </c>
      <c r="H1417" s="2"/>
    </row>
    <row r="1418" spans="1:8" hidden="1" x14ac:dyDescent="0.25">
      <c r="A1418">
        <v>2023</v>
      </c>
      <c r="B1418" t="s">
        <v>50</v>
      </c>
      <c r="C1418">
        <v>2019</v>
      </c>
      <c r="D1418">
        <v>636.99</v>
      </c>
      <c r="E1418">
        <v>12</v>
      </c>
      <c r="F1418">
        <v>698023.44</v>
      </c>
      <c r="G1418">
        <v>400.16</v>
      </c>
      <c r="H1418" s="2">
        <f t="shared" ref="H1418" si="234">SUM(E1418:E1423)</f>
        <v>117</v>
      </c>
    </row>
    <row r="1419" spans="1:8" hidden="1" x14ac:dyDescent="0.25">
      <c r="A1419">
        <v>2023</v>
      </c>
      <c r="B1419" t="s">
        <v>50</v>
      </c>
      <c r="C1419">
        <v>2020</v>
      </c>
      <c r="D1419">
        <v>757.17</v>
      </c>
      <c r="E1419">
        <v>15</v>
      </c>
      <c r="F1419">
        <v>663780.77</v>
      </c>
      <c r="G1419">
        <v>396.6</v>
      </c>
      <c r="H1419" s="2"/>
    </row>
    <row r="1420" spans="1:8" hidden="1" x14ac:dyDescent="0.25">
      <c r="A1420">
        <v>2023</v>
      </c>
      <c r="B1420" t="s">
        <v>50</v>
      </c>
      <c r="C1420">
        <v>2021</v>
      </c>
      <c r="D1420">
        <v>1339.7</v>
      </c>
      <c r="E1420">
        <v>25</v>
      </c>
      <c r="F1420">
        <v>664894.14</v>
      </c>
      <c r="G1420">
        <v>397.35</v>
      </c>
      <c r="H1420" s="2"/>
    </row>
    <row r="1421" spans="1:8" hidden="1" x14ac:dyDescent="0.25">
      <c r="A1421">
        <v>2023</v>
      </c>
      <c r="B1421" t="s">
        <v>50</v>
      </c>
      <c r="C1421">
        <v>2022</v>
      </c>
      <c r="D1421">
        <v>1475.23</v>
      </c>
      <c r="E1421">
        <v>27</v>
      </c>
      <c r="F1421">
        <v>648253.64</v>
      </c>
      <c r="G1421">
        <v>386.69</v>
      </c>
      <c r="H1421" s="2"/>
    </row>
    <row r="1422" spans="1:8" hidden="1" x14ac:dyDescent="0.25">
      <c r="A1422">
        <v>2023</v>
      </c>
      <c r="B1422" t="s">
        <v>50</v>
      </c>
      <c r="C1422">
        <v>2023</v>
      </c>
      <c r="D1422">
        <v>334.77</v>
      </c>
      <c r="E1422">
        <v>6</v>
      </c>
      <c r="F1422">
        <v>709086.29</v>
      </c>
      <c r="G1422">
        <v>407.88</v>
      </c>
      <c r="H1422" s="2"/>
    </row>
    <row r="1423" spans="1:8" hidden="1" x14ac:dyDescent="0.25">
      <c r="A1423">
        <v>2023</v>
      </c>
      <c r="B1423" t="s">
        <v>50</v>
      </c>
      <c r="C1423">
        <v>2024</v>
      </c>
      <c r="D1423">
        <v>1735.59</v>
      </c>
      <c r="E1423">
        <v>32</v>
      </c>
      <c r="F1423">
        <v>660241.38</v>
      </c>
      <c r="G1423">
        <v>393.7</v>
      </c>
      <c r="H1423" s="2"/>
    </row>
    <row r="1424" spans="1:8" hidden="1" x14ac:dyDescent="0.25">
      <c r="A1424">
        <v>2023</v>
      </c>
      <c r="B1424" t="s">
        <v>51</v>
      </c>
      <c r="C1424">
        <v>2019</v>
      </c>
      <c r="D1424">
        <v>1906.7</v>
      </c>
      <c r="E1424">
        <v>33</v>
      </c>
      <c r="F1424">
        <v>611758.78</v>
      </c>
      <c r="G1424">
        <v>440.5</v>
      </c>
      <c r="H1424" s="2">
        <f t="shared" ref="H1424" si="235">SUM(E1424:E1429)</f>
        <v>266</v>
      </c>
    </row>
    <row r="1425" spans="1:8" hidden="1" x14ac:dyDescent="0.25">
      <c r="A1425">
        <v>2023</v>
      </c>
      <c r="B1425" t="s">
        <v>51</v>
      </c>
      <c r="C1425">
        <v>2020</v>
      </c>
      <c r="D1425">
        <v>1952.68</v>
      </c>
      <c r="E1425">
        <v>40</v>
      </c>
      <c r="F1425">
        <v>574944.23</v>
      </c>
      <c r="G1425">
        <v>429.1</v>
      </c>
      <c r="H1425" s="2"/>
    </row>
    <row r="1426" spans="1:8" hidden="1" x14ac:dyDescent="0.25">
      <c r="A1426">
        <v>2023</v>
      </c>
      <c r="B1426" t="s">
        <v>51</v>
      </c>
      <c r="C1426">
        <v>2021</v>
      </c>
      <c r="D1426">
        <v>1516.69</v>
      </c>
      <c r="E1426">
        <v>31</v>
      </c>
      <c r="F1426">
        <v>582902.89</v>
      </c>
      <c r="G1426">
        <v>430.36</v>
      </c>
      <c r="H1426" s="2"/>
    </row>
    <row r="1427" spans="1:8" hidden="1" x14ac:dyDescent="0.25">
      <c r="A1427">
        <v>2023</v>
      </c>
      <c r="B1427" t="s">
        <v>51</v>
      </c>
      <c r="C1427">
        <v>2022</v>
      </c>
      <c r="D1427">
        <v>5003.95</v>
      </c>
      <c r="E1427">
        <v>91</v>
      </c>
      <c r="F1427">
        <v>555450</v>
      </c>
      <c r="G1427">
        <v>414.18</v>
      </c>
      <c r="H1427" s="2"/>
    </row>
    <row r="1428" spans="1:8" hidden="1" x14ac:dyDescent="0.25">
      <c r="A1428">
        <v>2023</v>
      </c>
      <c r="B1428" t="s">
        <v>51</v>
      </c>
      <c r="C1428">
        <v>2023</v>
      </c>
      <c r="D1428">
        <v>408.48</v>
      </c>
      <c r="E1428">
        <v>7</v>
      </c>
      <c r="F1428">
        <v>613607.89</v>
      </c>
      <c r="G1428">
        <v>448.12</v>
      </c>
      <c r="H1428" s="2"/>
    </row>
    <row r="1429" spans="1:8" hidden="1" x14ac:dyDescent="0.25">
      <c r="A1429">
        <v>2023</v>
      </c>
      <c r="B1429" t="s">
        <v>51</v>
      </c>
      <c r="C1429">
        <v>2024</v>
      </c>
      <c r="D1429">
        <v>2919.54</v>
      </c>
      <c r="E1429">
        <v>64</v>
      </c>
      <c r="F1429">
        <v>571888.89</v>
      </c>
      <c r="G1429">
        <v>422.28</v>
      </c>
      <c r="H1429" s="2"/>
    </row>
    <row r="1430" spans="1:8" hidden="1" x14ac:dyDescent="0.25">
      <c r="A1430">
        <v>2023</v>
      </c>
      <c r="B1430" t="s">
        <v>52</v>
      </c>
      <c r="C1430">
        <v>2019</v>
      </c>
      <c r="D1430">
        <v>161.61000000000001</v>
      </c>
      <c r="E1430">
        <v>3</v>
      </c>
      <c r="F1430">
        <v>844365.59</v>
      </c>
      <c r="G1430">
        <v>466.3</v>
      </c>
      <c r="H1430" s="2">
        <f t="shared" ref="H1430" si="236">SUM(E1430:E1435)</f>
        <v>87</v>
      </c>
    </row>
    <row r="1431" spans="1:8" hidden="1" x14ac:dyDescent="0.25">
      <c r="A1431">
        <v>2023</v>
      </c>
      <c r="B1431" t="s">
        <v>52</v>
      </c>
      <c r="C1431">
        <v>2020</v>
      </c>
      <c r="D1431">
        <v>616.12</v>
      </c>
      <c r="E1431">
        <v>12</v>
      </c>
      <c r="F1431">
        <v>791560.82</v>
      </c>
      <c r="G1431">
        <v>458.53</v>
      </c>
      <c r="H1431" s="2"/>
    </row>
    <row r="1432" spans="1:8" hidden="1" x14ac:dyDescent="0.25">
      <c r="A1432">
        <v>2023</v>
      </c>
      <c r="B1432" t="s">
        <v>52</v>
      </c>
      <c r="C1432">
        <v>2021</v>
      </c>
      <c r="D1432">
        <v>920.87</v>
      </c>
      <c r="E1432">
        <v>16</v>
      </c>
      <c r="F1432">
        <v>812622.77</v>
      </c>
      <c r="G1432">
        <v>460.4</v>
      </c>
      <c r="H1432" s="2"/>
    </row>
    <row r="1433" spans="1:8" hidden="1" x14ac:dyDescent="0.25">
      <c r="A1433">
        <v>2023</v>
      </c>
      <c r="B1433" t="s">
        <v>52</v>
      </c>
      <c r="C1433">
        <v>2022</v>
      </c>
      <c r="D1433">
        <v>729.57</v>
      </c>
      <c r="E1433">
        <v>17</v>
      </c>
      <c r="F1433">
        <v>784098.83</v>
      </c>
      <c r="G1433">
        <v>454.98</v>
      </c>
      <c r="H1433" s="2"/>
    </row>
    <row r="1434" spans="1:8" hidden="1" x14ac:dyDescent="0.25">
      <c r="A1434">
        <v>2023</v>
      </c>
      <c r="B1434" t="s">
        <v>52</v>
      </c>
      <c r="C1434">
        <v>2023</v>
      </c>
      <c r="D1434">
        <v>283.2</v>
      </c>
      <c r="E1434">
        <v>7</v>
      </c>
      <c r="F1434">
        <v>848949.7</v>
      </c>
      <c r="G1434">
        <v>469.01</v>
      </c>
      <c r="H1434" s="2"/>
    </row>
    <row r="1435" spans="1:8" hidden="1" x14ac:dyDescent="0.25">
      <c r="A1435">
        <v>2023</v>
      </c>
      <c r="B1435" t="s">
        <v>52</v>
      </c>
      <c r="C1435">
        <v>2024</v>
      </c>
      <c r="D1435">
        <v>2097.25</v>
      </c>
      <c r="E1435">
        <v>32</v>
      </c>
      <c r="F1435">
        <v>801878.79</v>
      </c>
      <c r="G1435">
        <v>455.38</v>
      </c>
      <c r="H1435" s="2"/>
    </row>
    <row r="1436" spans="1:8" hidden="1" x14ac:dyDescent="0.25">
      <c r="A1436">
        <v>2023</v>
      </c>
      <c r="B1436" t="s">
        <v>53</v>
      </c>
      <c r="C1436">
        <v>2019</v>
      </c>
      <c r="D1436">
        <v>785.26</v>
      </c>
      <c r="E1436">
        <v>19</v>
      </c>
      <c r="F1436">
        <v>726202.1</v>
      </c>
      <c r="G1436">
        <v>443.33</v>
      </c>
      <c r="H1436" s="2">
        <f t="shared" ref="H1436" si="237">SUM(E1436:E1441)</f>
        <v>142</v>
      </c>
    </row>
    <row r="1437" spans="1:8" hidden="1" x14ac:dyDescent="0.25">
      <c r="A1437">
        <v>2023</v>
      </c>
      <c r="B1437" t="s">
        <v>53</v>
      </c>
      <c r="C1437">
        <v>2020</v>
      </c>
      <c r="D1437">
        <v>997.95</v>
      </c>
      <c r="E1437">
        <v>19</v>
      </c>
      <c r="F1437">
        <v>680708.65</v>
      </c>
      <c r="G1437">
        <v>436.42</v>
      </c>
      <c r="H1437" s="2"/>
    </row>
    <row r="1438" spans="1:8" hidden="1" x14ac:dyDescent="0.25">
      <c r="A1438">
        <v>2023</v>
      </c>
      <c r="B1438" t="s">
        <v>53</v>
      </c>
      <c r="C1438">
        <v>2021</v>
      </c>
      <c r="D1438">
        <v>1374.51</v>
      </c>
      <c r="E1438">
        <v>24</v>
      </c>
      <c r="F1438">
        <v>701064.87</v>
      </c>
      <c r="G1438">
        <v>438.73</v>
      </c>
      <c r="H1438" s="2"/>
    </row>
    <row r="1439" spans="1:8" hidden="1" x14ac:dyDescent="0.25">
      <c r="A1439">
        <v>2023</v>
      </c>
      <c r="B1439" t="s">
        <v>53</v>
      </c>
      <c r="C1439">
        <v>2022</v>
      </c>
      <c r="D1439">
        <v>1046.57</v>
      </c>
      <c r="E1439">
        <v>21</v>
      </c>
      <c r="F1439">
        <v>675569.65</v>
      </c>
      <c r="G1439">
        <v>428.84</v>
      </c>
      <c r="H1439" s="2"/>
    </row>
    <row r="1440" spans="1:8" hidden="1" x14ac:dyDescent="0.25">
      <c r="A1440">
        <v>2023</v>
      </c>
      <c r="B1440" t="s">
        <v>53</v>
      </c>
      <c r="C1440">
        <v>2023</v>
      </c>
      <c r="D1440">
        <v>363.56</v>
      </c>
      <c r="E1440">
        <v>6</v>
      </c>
      <c r="F1440">
        <v>724026.81</v>
      </c>
      <c r="G1440">
        <v>448.91</v>
      </c>
      <c r="H1440" s="2"/>
    </row>
    <row r="1441" spans="1:8" hidden="1" x14ac:dyDescent="0.25">
      <c r="A1441">
        <v>2023</v>
      </c>
      <c r="B1441" t="s">
        <v>53</v>
      </c>
      <c r="C1441">
        <v>2024</v>
      </c>
      <c r="D1441">
        <v>3063.62</v>
      </c>
      <c r="E1441">
        <v>53</v>
      </c>
      <c r="F1441">
        <v>676579.16</v>
      </c>
      <c r="G1441">
        <v>428.89</v>
      </c>
      <c r="H1441" s="2"/>
    </row>
    <row r="1442" spans="1:8" hidden="1" x14ac:dyDescent="0.25">
      <c r="A1442">
        <v>2024</v>
      </c>
      <c r="B1442" t="s">
        <v>7</v>
      </c>
      <c r="C1442">
        <v>2019</v>
      </c>
      <c r="D1442">
        <v>0</v>
      </c>
      <c r="E1442">
        <v>0</v>
      </c>
      <c r="F1442">
        <v>797701.25</v>
      </c>
      <c r="G1442">
        <v>524.12</v>
      </c>
      <c r="H1442" s="2">
        <f t="shared" ref="H1442" si="238">SUM(E1442:E1447)</f>
        <v>60</v>
      </c>
    </row>
    <row r="1443" spans="1:8" hidden="1" x14ac:dyDescent="0.25">
      <c r="A1443">
        <v>2024</v>
      </c>
      <c r="B1443" t="s">
        <v>7</v>
      </c>
      <c r="C1443">
        <v>2020</v>
      </c>
      <c r="D1443">
        <v>274.89999999999998</v>
      </c>
      <c r="E1443">
        <v>11</v>
      </c>
      <c r="F1443">
        <v>753386.13</v>
      </c>
      <c r="G1443">
        <v>513.11</v>
      </c>
      <c r="H1443" s="2"/>
    </row>
    <row r="1444" spans="1:8" hidden="1" x14ac:dyDescent="0.25">
      <c r="A1444">
        <v>2024</v>
      </c>
      <c r="B1444" t="s">
        <v>7</v>
      </c>
      <c r="C1444">
        <v>2021</v>
      </c>
      <c r="D1444">
        <v>183.51</v>
      </c>
      <c r="E1444">
        <v>3</v>
      </c>
      <c r="F1444">
        <v>786987.83</v>
      </c>
      <c r="G1444">
        <v>517.63</v>
      </c>
      <c r="H1444" s="2"/>
    </row>
    <row r="1445" spans="1:8" hidden="1" x14ac:dyDescent="0.25">
      <c r="A1445">
        <v>2024</v>
      </c>
      <c r="B1445" t="s">
        <v>7</v>
      </c>
      <c r="C1445">
        <v>2022</v>
      </c>
      <c r="D1445">
        <v>1048.83</v>
      </c>
      <c r="E1445">
        <v>21</v>
      </c>
      <c r="F1445">
        <v>755779.64</v>
      </c>
      <c r="G1445">
        <v>511.03</v>
      </c>
      <c r="H1445" s="2"/>
    </row>
    <row r="1446" spans="1:8" hidden="1" x14ac:dyDescent="0.25">
      <c r="A1446">
        <v>2024</v>
      </c>
      <c r="B1446" t="s">
        <v>7</v>
      </c>
      <c r="C1446">
        <v>2023</v>
      </c>
      <c r="D1446">
        <v>821.57</v>
      </c>
      <c r="E1446">
        <v>14</v>
      </c>
      <c r="F1446">
        <v>774165.33</v>
      </c>
      <c r="G1446">
        <v>522.64</v>
      </c>
      <c r="H1446" s="2"/>
    </row>
    <row r="1447" spans="1:8" hidden="1" x14ac:dyDescent="0.25">
      <c r="A1447">
        <v>2024</v>
      </c>
      <c r="B1447" t="s">
        <v>7</v>
      </c>
      <c r="C1447">
        <v>2024</v>
      </c>
      <c r="D1447">
        <v>366.41</v>
      </c>
      <c r="E1447">
        <v>11</v>
      </c>
      <c r="F1447">
        <v>776175.69</v>
      </c>
      <c r="G1447">
        <v>512.24</v>
      </c>
      <c r="H1447" s="2"/>
    </row>
    <row r="1448" spans="1:8" hidden="1" x14ac:dyDescent="0.25">
      <c r="A1448">
        <v>2024</v>
      </c>
      <c r="B1448" t="s">
        <v>8</v>
      </c>
      <c r="C1448">
        <v>2019</v>
      </c>
      <c r="D1448">
        <v>98.43</v>
      </c>
      <c r="E1448">
        <v>2</v>
      </c>
      <c r="F1448">
        <v>749664.02</v>
      </c>
      <c r="G1448">
        <v>539.79999999999995</v>
      </c>
      <c r="H1448" s="2">
        <f t="shared" ref="H1448" si="239">SUM(E1448:E1453)</f>
        <v>61</v>
      </c>
    </row>
    <row r="1449" spans="1:8" hidden="1" x14ac:dyDescent="0.25">
      <c r="A1449">
        <v>2024</v>
      </c>
      <c r="B1449" t="s">
        <v>8</v>
      </c>
      <c r="C1449">
        <v>2020</v>
      </c>
      <c r="D1449">
        <v>732.67</v>
      </c>
      <c r="E1449">
        <v>17</v>
      </c>
      <c r="F1449">
        <v>704527.17</v>
      </c>
      <c r="G1449">
        <v>529.30999999999995</v>
      </c>
      <c r="H1449" s="2"/>
    </row>
    <row r="1450" spans="1:8" hidden="1" x14ac:dyDescent="0.25">
      <c r="A1450">
        <v>2024</v>
      </c>
      <c r="B1450" t="s">
        <v>8</v>
      </c>
      <c r="C1450">
        <v>2021</v>
      </c>
      <c r="D1450">
        <v>250.06</v>
      </c>
      <c r="E1450">
        <v>4</v>
      </c>
      <c r="F1450">
        <v>722354.53</v>
      </c>
      <c r="G1450">
        <v>534.46</v>
      </c>
      <c r="H1450" s="2"/>
    </row>
    <row r="1451" spans="1:8" hidden="1" x14ac:dyDescent="0.25">
      <c r="A1451">
        <v>2024</v>
      </c>
      <c r="B1451" t="s">
        <v>8</v>
      </c>
      <c r="C1451">
        <v>2022</v>
      </c>
      <c r="D1451">
        <v>903.6</v>
      </c>
      <c r="E1451">
        <v>18</v>
      </c>
      <c r="F1451">
        <v>685034.42</v>
      </c>
      <c r="G1451">
        <v>525.35</v>
      </c>
      <c r="H1451" s="2"/>
    </row>
    <row r="1452" spans="1:8" hidden="1" x14ac:dyDescent="0.25">
      <c r="A1452">
        <v>2024</v>
      </c>
      <c r="B1452" t="s">
        <v>8</v>
      </c>
      <c r="C1452">
        <v>2023</v>
      </c>
      <c r="D1452">
        <v>519.9</v>
      </c>
      <c r="E1452">
        <v>10</v>
      </c>
      <c r="F1452">
        <v>716903.36</v>
      </c>
      <c r="G1452">
        <v>537.95000000000005</v>
      </c>
      <c r="H1452" s="2"/>
    </row>
    <row r="1453" spans="1:8" hidden="1" x14ac:dyDescent="0.25">
      <c r="A1453">
        <v>2024</v>
      </c>
      <c r="B1453" t="s">
        <v>8</v>
      </c>
      <c r="C1453">
        <v>2024</v>
      </c>
      <c r="D1453">
        <v>392.75</v>
      </c>
      <c r="E1453">
        <v>10</v>
      </c>
      <c r="F1453">
        <v>729528.73</v>
      </c>
      <c r="G1453">
        <v>529.92999999999995</v>
      </c>
      <c r="H1453" s="2"/>
    </row>
    <row r="1454" spans="1:8" hidden="1" x14ac:dyDescent="0.25">
      <c r="A1454">
        <v>2024</v>
      </c>
      <c r="B1454" t="s">
        <v>9</v>
      </c>
      <c r="C1454">
        <v>2019</v>
      </c>
      <c r="D1454">
        <v>96.81</v>
      </c>
      <c r="E1454">
        <v>2</v>
      </c>
      <c r="F1454">
        <v>891452.43</v>
      </c>
      <c r="G1454">
        <v>508.12</v>
      </c>
      <c r="H1454" s="2">
        <f t="shared" ref="H1454" si="240">SUM(E1454:E1459)</f>
        <v>199</v>
      </c>
    </row>
    <row r="1455" spans="1:8" hidden="1" x14ac:dyDescent="0.25">
      <c r="A1455">
        <v>2024</v>
      </c>
      <c r="B1455" t="s">
        <v>9</v>
      </c>
      <c r="C1455">
        <v>2020</v>
      </c>
      <c r="D1455">
        <v>1081.0899999999999</v>
      </c>
      <c r="E1455">
        <v>21</v>
      </c>
      <c r="F1455">
        <v>854706.14</v>
      </c>
      <c r="G1455">
        <v>497.08</v>
      </c>
      <c r="H1455" s="2"/>
    </row>
    <row r="1456" spans="1:8" hidden="1" x14ac:dyDescent="0.25">
      <c r="A1456">
        <v>2024</v>
      </c>
      <c r="B1456" t="s">
        <v>9</v>
      </c>
      <c r="C1456">
        <v>2021</v>
      </c>
      <c r="D1456">
        <v>3376.47</v>
      </c>
      <c r="E1456">
        <v>66</v>
      </c>
      <c r="F1456">
        <v>850823.96</v>
      </c>
      <c r="G1456">
        <v>484.32</v>
      </c>
      <c r="H1456" s="2"/>
    </row>
    <row r="1457" spans="1:8" hidden="1" x14ac:dyDescent="0.25">
      <c r="A1457">
        <v>2024</v>
      </c>
      <c r="B1457" t="s">
        <v>9</v>
      </c>
      <c r="C1457">
        <v>2022</v>
      </c>
      <c r="D1457">
        <v>3471.64</v>
      </c>
      <c r="E1457">
        <v>67</v>
      </c>
      <c r="F1457">
        <v>812373.57</v>
      </c>
      <c r="G1457">
        <v>482.4</v>
      </c>
      <c r="H1457" s="2"/>
    </row>
    <row r="1458" spans="1:8" hidden="1" x14ac:dyDescent="0.25">
      <c r="A1458">
        <v>2024</v>
      </c>
      <c r="B1458" t="s">
        <v>9</v>
      </c>
      <c r="C1458">
        <v>2023</v>
      </c>
      <c r="D1458">
        <v>2044.61</v>
      </c>
      <c r="E1458">
        <v>39</v>
      </c>
      <c r="F1458">
        <v>853178.07</v>
      </c>
      <c r="G1458">
        <v>489.53</v>
      </c>
      <c r="H1458" s="2"/>
    </row>
    <row r="1459" spans="1:8" hidden="1" x14ac:dyDescent="0.25">
      <c r="A1459">
        <v>2024</v>
      </c>
      <c r="B1459" t="s">
        <v>9</v>
      </c>
      <c r="C1459">
        <v>2024</v>
      </c>
      <c r="D1459">
        <v>35.92</v>
      </c>
      <c r="E1459">
        <v>4</v>
      </c>
      <c r="F1459">
        <v>903062.84</v>
      </c>
      <c r="G1459">
        <v>499.1</v>
      </c>
      <c r="H1459" s="2"/>
    </row>
    <row r="1460" spans="1:8" hidden="1" x14ac:dyDescent="0.25">
      <c r="A1460">
        <v>2024</v>
      </c>
      <c r="B1460" t="s">
        <v>10</v>
      </c>
      <c r="C1460">
        <v>2019</v>
      </c>
      <c r="D1460">
        <v>239.81</v>
      </c>
      <c r="E1460">
        <v>6</v>
      </c>
      <c r="F1460">
        <v>856593.29</v>
      </c>
      <c r="G1460">
        <v>353.94</v>
      </c>
      <c r="H1460" s="2">
        <f t="shared" ref="H1460" si="241">SUM(E1460:E1465)</f>
        <v>98</v>
      </c>
    </row>
    <row r="1461" spans="1:8" hidden="1" x14ac:dyDescent="0.25">
      <c r="A1461">
        <v>2024</v>
      </c>
      <c r="B1461" t="s">
        <v>10</v>
      </c>
      <c r="C1461">
        <v>2020</v>
      </c>
      <c r="D1461">
        <v>1417.81</v>
      </c>
      <c r="E1461">
        <v>35</v>
      </c>
      <c r="F1461">
        <v>824958.95</v>
      </c>
      <c r="G1461">
        <v>349.16</v>
      </c>
      <c r="H1461" s="2"/>
    </row>
    <row r="1462" spans="1:8" hidden="1" x14ac:dyDescent="0.25">
      <c r="A1462">
        <v>2024</v>
      </c>
      <c r="B1462" t="s">
        <v>10</v>
      </c>
      <c r="C1462">
        <v>2021</v>
      </c>
      <c r="D1462">
        <v>493.37</v>
      </c>
      <c r="E1462">
        <v>9</v>
      </c>
      <c r="F1462">
        <v>852055.97</v>
      </c>
      <c r="G1462">
        <v>354.58</v>
      </c>
      <c r="H1462" s="2"/>
    </row>
    <row r="1463" spans="1:8" hidden="1" x14ac:dyDescent="0.25">
      <c r="A1463">
        <v>2024</v>
      </c>
      <c r="B1463" t="s">
        <v>10</v>
      </c>
      <c r="C1463">
        <v>2022</v>
      </c>
      <c r="D1463">
        <v>804.3</v>
      </c>
      <c r="E1463">
        <v>17</v>
      </c>
      <c r="F1463">
        <v>818227.36</v>
      </c>
      <c r="G1463">
        <v>351.33</v>
      </c>
      <c r="H1463" s="2"/>
    </row>
    <row r="1464" spans="1:8" hidden="1" x14ac:dyDescent="0.25">
      <c r="A1464">
        <v>2024</v>
      </c>
      <c r="B1464" t="s">
        <v>10</v>
      </c>
      <c r="C1464">
        <v>2023</v>
      </c>
      <c r="D1464">
        <v>997.08</v>
      </c>
      <c r="E1464">
        <v>19</v>
      </c>
      <c r="F1464">
        <v>854995.02</v>
      </c>
      <c r="G1464">
        <v>352.92</v>
      </c>
      <c r="H1464" s="2"/>
    </row>
    <row r="1465" spans="1:8" hidden="1" x14ac:dyDescent="0.25">
      <c r="A1465">
        <v>2024</v>
      </c>
      <c r="B1465" t="s">
        <v>10</v>
      </c>
      <c r="C1465">
        <v>2024</v>
      </c>
      <c r="D1465">
        <v>410.49</v>
      </c>
      <c r="E1465">
        <v>12</v>
      </c>
      <c r="F1465">
        <v>857502.8</v>
      </c>
      <c r="G1465">
        <v>352.72</v>
      </c>
      <c r="H1465" s="2"/>
    </row>
    <row r="1466" spans="1:8" hidden="1" x14ac:dyDescent="0.25">
      <c r="A1466">
        <v>2024</v>
      </c>
      <c r="B1466" t="s">
        <v>11</v>
      </c>
      <c r="C1466">
        <v>2019</v>
      </c>
      <c r="D1466">
        <v>307.89999999999998</v>
      </c>
      <c r="E1466">
        <v>12</v>
      </c>
      <c r="F1466">
        <v>841664.62</v>
      </c>
      <c r="G1466">
        <v>357.03</v>
      </c>
      <c r="H1466" s="2">
        <f t="shared" ref="H1466" si="242">SUM(E1466:E1471)</f>
        <v>88</v>
      </c>
    </row>
    <row r="1467" spans="1:8" hidden="1" x14ac:dyDescent="0.25">
      <c r="A1467">
        <v>2024</v>
      </c>
      <c r="B1467" t="s">
        <v>11</v>
      </c>
      <c r="C1467">
        <v>2020</v>
      </c>
      <c r="D1467">
        <v>1412.75</v>
      </c>
      <c r="E1467">
        <v>32</v>
      </c>
      <c r="F1467">
        <v>805181.61</v>
      </c>
      <c r="G1467">
        <v>352.12</v>
      </c>
      <c r="H1467" s="2"/>
    </row>
    <row r="1468" spans="1:8" hidden="1" x14ac:dyDescent="0.25">
      <c r="A1468">
        <v>2024</v>
      </c>
      <c r="B1468" t="s">
        <v>11</v>
      </c>
      <c r="C1468">
        <v>2021</v>
      </c>
      <c r="D1468">
        <v>431.55</v>
      </c>
      <c r="E1468">
        <v>11</v>
      </c>
      <c r="F1468">
        <v>833981.96</v>
      </c>
      <c r="G1468">
        <v>355.95</v>
      </c>
      <c r="H1468" s="2"/>
    </row>
    <row r="1469" spans="1:8" hidden="1" x14ac:dyDescent="0.25">
      <c r="A1469">
        <v>2024</v>
      </c>
      <c r="B1469" t="s">
        <v>11</v>
      </c>
      <c r="C1469">
        <v>2022</v>
      </c>
      <c r="D1469">
        <v>644.86</v>
      </c>
      <c r="E1469">
        <v>10</v>
      </c>
      <c r="F1469">
        <v>801450.25</v>
      </c>
      <c r="G1469">
        <v>352.9</v>
      </c>
      <c r="H1469" s="2"/>
    </row>
    <row r="1470" spans="1:8" hidden="1" x14ac:dyDescent="0.25">
      <c r="A1470">
        <v>2024</v>
      </c>
      <c r="B1470" t="s">
        <v>11</v>
      </c>
      <c r="C1470">
        <v>2023</v>
      </c>
      <c r="D1470">
        <v>672.94</v>
      </c>
      <c r="E1470">
        <v>10</v>
      </c>
      <c r="F1470">
        <v>837148.76</v>
      </c>
      <c r="G1470">
        <v>355.96</v>
      </c>
      <c r="H1470" s="2"/>
    </row>
    <row r="1471" spans="1:8" hidden="1" x14ac:dyDescent="0.25">
      <c r="A1471">
        <v>2024</v>
      </c>
      <c r="B1471" t="s">
        <v>11</v>
      </c>
      <c r="C1471">
        <v>2024</v>
      </c>
      <c r="D1471">
        <v>439.25</v>
      </c>
      <c r="E1471">
        <v>13</v>
      </c>
      <c r="F1471">
        <v>848458.12</v>
      </c>
      <c r="G1471">
        <v>356.22</v>
      </c>
      <c r="H1471" s="2"/>
    </row>
    <row r="1472" spans="1:8" hidden="1" x14ac:dyDescent="0.25">
      <c r="A1472">
        <v>2024</v>
      </c>
      <c r="B1472" t="s">
        <v>12</v>
      </c>
      <c r="C1472">
        <v>2019</v>
      </c>
      <c r="D1472">
        <v>1014.42</v>
      </c>
      <c r="E1472">
        <v>25</v>
      </c>
      <c r="F1472">
        <v>621841.22</v>
      </c>
      <c r="G1472">
        <v>462.85</v>
      </c>
      <c r="H1472" s="2">
        <f t="shared" ref="H1472" si="243">SUM(E1472:E1477)</f>
        <v>142</v>
      </c>
    </row>
    <row r="1473" spans="1:8" hidden="1" x14ac:dyDescent="0.25">
      <c r="A1473">
        <v>2024</v>
      </c>
      <c r="B1473" t="s">
        <v>12</v>
      </c>
      <c r="C1473">
        <v>2020</v>
      </c>
      <c r="D1473">
        <v>2024.92</v>
      </c>
      <c r="E1473">
        <v>47</v>
      </c>
      <c r="F1473">
        <v>595454.46</v>
      </c>
      <c r="G1473">
        <v>450.83</v>
      </c>
      <c r="H1473" s="2"/>
    </row>
    <row r="1474" spans="1:8" hidden="1" x14ac:dyDescent="0.25">
      <c r="A1474">
        <v>2024</v>
      </c>
      <c r="B1474" t="s">
        <v>12</v>
      </c>
      <c r="C1474">
        <v>2021</v>
      </c>
      <c r="D1474">
        <v>878.83</v>
      </c>
      <c r="E1474">
        <v>24</v>
      </c>
      <c r="F1474">
        <v>609839.97</v>
      </c>
      <c r="G1474">
        <v>450.49</v>
      </c>
      <c r="H1474" s="2"/>
    </row>
    <row r="1475" spans="1:8" hidden="1" x14ac:dyDescent="0.25">
      <c r="A1475">
        <v>2024</v>
      </c>
      <c r="B1475" t="s">
        <v>12</v>
      </c>
      <c r="C1475">
        <v>2022</v>
      </c>
      <c r="D1475">
        <v>732.59</v>
      </c>
      <c r="E1475">
        <v>15</v>
      </c>
      <c r="F1475">
        <v>584152.46</v>
      </c>
      <c r="G1475">
        <v>445.32</v>
      </c>
      <c r="H1475" s="2"/>
    </row>
    <row r="1476" spans="1:8" hidden="1" x14ac:dyDescent="0.25">
      <c r="A1476">
        <v>2024</v>
      </c>
      <c r="B1476" t="s">
        <v>12</v>
      </c>
      <c r="C1476">
        <v>2023</v>
      </c>
      <c r="D1476">
        <v>579.21</v>
      </c>
      <c r="E1476">
        <v>11</v>
      </c>
      <c r="F1476">
        <v>616078.87</v>
      </c>
      <c r="G1476">
        <v>456.07</v>
      </c>
      <c r="H1476" s="2"/>
    </row>
    <row r="1477" spans="1:8" hidden="1" x14ac:dyDescent="0.25">
      <c r="A1477">
        <v>2024</v>
      </c>
      <c r="B1477" t="s">
        <v>12</v>
      </c>
      <c r="C1477">
        <v>2024</v>
      </c>
      <c r="D1477">
        <v>863.28</v>
      </c>
      <c r="E1477">
        <v>20</v>
      </c>
      <c r="F1477">
        <v>622434.24</v>
      </c>
      <c r="G1477">
        <v>455.63</v>
      </c>
      <c r="H1477" s="2"/>
    </row>
    <row r="1478" spans="1:8" hidden="1" x14ac:dyDescent="0.25">
      <c r="A1478">
        <v>2024</v>
      </c>
      <c r="B1478" t="s">
        <v>13</v>
      </c>
      <c r="C1478">
        <v>2019</v>
      </c>
      <c r="D1478">
        <v>1014.76</v>
      </c>
      <c r="E1478">
        <v>25</v>
      </c>
      <c r="F1478">
        <v>607800.76</v>
      </c>
      <c r="G1478">
        <v>504.45</v>
      </c>
      <c r="H1478" s="2">
        <f t="shared" ref="H1478" si="244">SUM(E1478:E1483)</f>
        <v>142</v>
      </c>
    </row>
    <row r="1479" spans="1:8" hidden="1" x14ac:dyDescent="0.25">
      <c r="A1479">
        <v>2024</v>
      </c>
      <c r="B1479" t="s">
        <v>13</v>
      </c>
      <c r="C1479">
        <v>2020</v>
      </c>
      <c r="D1479">
        <v>1565.66</v>
      </c>
      <c r="E1479">
        <v>38</v>
      </c>
      <c r="F1479">
        <v>581381.24</v>
      </c>
      <c r="G1479">
        <v>492.95</v>
      </c>
      <c r="H1479" s="2"/>
    </row>
    <row r="1480" spans="1:8" hidden="1" x14ac:dyDescent="0.25">
      <c r="A1480">
        <v>2024</v>
      </c>
      <c r="B1480" t="s">
        <v>13</v>
      </c>
      <c r="C1480">
        <v>2021</v>
      </c>
      <c r="D1480">
        <v>1119.0899999999999</v>
      </c>
      <c r="E1480">
        <v>27</v>
      </c>
      <c r="F1480">
        <v>594586.77</v>
      </c>
      <c r="G1480">
        <v>488.6</v>
      </c>
      <c r="H1480" s="2"/>
    </row>
    <row r="1481" spans="1:8" hidden="1" x14ac:dyDescent="0.25">
      <c r="A1481">
        <v>2024</v>
      </c>
      <c r="B1481" t="s">
        <v>13</v>
      </c>
      <c r="C1481">
        <v>2022</v>
      </c>
      <c r="D1481">
        <v>1043.1400000000001</v>
      </c>
      <c r="E1481">
        <v>24</v>
      </c>
      <c r="F1481">
        <v>567436.94999999995</v>
      </c>
      <c r="G1481">
        <v>482.3</v>
      </c>
      <c r="H1481" s="2"/>
    </row>
    <row r="1482" spans="1:8" hidden="1" x14ac:dyDescent="0.25">
      <c r="A1482">
        <v>2024</v>
      </c>
      <c r="B1482" t="s">
        <v>13</v>
      </c>
      <c r="C1482">
        <v>2023</v>
      </c>
      <c r="D1482">
        <v>520.79</v>
      </c>
      <c r="E1482">
        <v>9</v>
      </c>
      <c r="F1482">
        <v>600540.30000000005</v>
      </c>
      <c r="G1482">
        <v>502.42</v>
      </c>
      <c r="H1482" s="2"/>
    </row>
    <row r="1483" spans="1:8" hidden="1" x14ac:dyDescent="0.25">
      <c r="A1483">
        <v>2024</v>
      </c>
      <c r="B1483" t="s">
        <v>13</v>
      </c>
      <c r="C1483">
        <v>2024</v>
      </c>
      <c r="D1483">
        <v>818.13</v>
      </c>
      <c r="E1483">
        <v>19</v>
      </c>
      <c r="F1483">
        <v>609730.31999999995</v>
      </c>
      <c r="G1483">
        <v>499.25</v>
      </c>
      <c r="H1483" s="2"/>
    </row>
    <row r="1484" spans="1:8" hidden="1" x14ac:dyDescent="0.25">
      <c r="A1484">
        <v>2024</v>
      </c>
      <c r="B1484" t="s">
        <v>14</v>
      </c>
      <c r="C1484">
        <v>2019</v>
      </c>
      <c r="D1484">
        <v>394.65</v>
      </c>
      <c r="E1484">
        <v>7</v>
      </c>
      <c r="F1484">
        <v>718664.42</v>
      </c>
      <c r="G1484">
        <v>600.27</v>
      </c>
      <c r="H1484" s="2">
        <f t="shared" ref="H1484" si="245">SUM(E1484:E1489)</f>
        <v>33</v>
      </c>
    </row>
    <row r="1485" spans="1:8" hidden="1" x14ac:dyDescent="0.25">
      <c r="A1485">
        <v>2024</v>
      </c>
      <c r="B1485" t="s">
        <v>14</v>
      </c>
      <c r="C1485">
        <v>2020</v>
      </c>
      <c r="D1485">
        <v>256.89999999999998</v>
      </c>
      <c r="E1485">
        <v>7</v>
      </c>
      <c r="F1485">
        <v>693705.59</v>
      </c>
      <c r="G1485">
        <v>596.61</v>
      </c>
      <c r="H1485" s="2"/>
    </row>
    <row r="1486" spans="1:8" hidden="1" x14ac:dyDescent="0.25">
      <c r="A1486">
        <v>2024</v>
      </c>
      <c r="B1486" t="s">
        <v>14</v>
      </c>
      <c r="C1486">
        <v>2021</v>
      </c>
      <c r="D1486">
        <v>113.38</v>
      </c>
      <c r="E1486">
        <v>4</v>
      </c>
      <c r="F1486">
        <v>705721.46</v>
      </c>
      <c r="G1486">
        <v>596.29999999999995</v>
      </c>
      <c r="H1486" s="2"/>
    </row>
    <row r="1487" spans="1:8" hidden="1" x14ac:dyDescent="0.25">
      <c r="A1487">
        <v>2024</v>
      </c>
      <c r="B1487" t="s">
        <v>14</v>
      </c>
      <c r="C1487">
        <v>2022</v>
      </c>
      <c r="D1487">
        <v>10.210000000000001</v>
      </c>
      <c r="E1487">
        <v>1</v>
      </c>
      <c r="F1487">
        <v>681916.15</v>
      </c>
      <c r="G1487">
        <v>596.82000000000005</v>
      </c>
      <c r="H1487" s="2"/>
    </row>
    <row r="1488" spans="1:8" hidden="1" x14ac:dyDescent="0.25">
      <c r="A1488">
        <v>2024</v>
      </c>
      <c r="B1488" t="s">
        <v>14</v>
      </c>
      <c r="C1488">
        <v>2023</v>
      </c>
      <c r="D1488">
        <v>421.39</v>
      </c>
      <c r="E1488">
        <v>5</v>
      </c>
      <c r="F1488">
        <v>698797.19</v>
      </c>
      <c r="G1488">
        <v>599</v>
      </c>
      <c r="H1488" s="2"/>
    </row>
    <row r="1489" spans="1:8" hidden="1" x14ac:dyDescent="0.25">
      <c r="A1489">
        <v>2024</v>
      </c>
      <c r="B1489" t="s">
        <v>14</v>
      </c>
      <c r="C1489">
        <v>2024</v>
      </c>
      <c r="D1489">
        <v>364.43</v>
      </c>
      <c r="E1489">
        <v>9</v>
      </c>
      <c r="F1489">
        <v>704202.77</v>
      </c>
      <c r="G1489">
        <v>594.72</v>
      </c>
      <c r="H1489" s="2"/>
    </row>
    <row r="1490" spans="1:8" hidden="1" x14ac:dyDescent="0.25">
      <c r="A1490">
        <v>2024</v>
      </c>
      <c r="B1490" t="s">
        <v>15</v>
      </c>
      <c r="C1490">
        <v>2019</v>
      </c>
      <c r="D1490">
        <v>352.34</v>
      </c>
      <c r="E1490">
        <v>8</v>
      </c>
      <c r="F1490">
        <v>748711.13</v>
      </c>
      <c r="G1490">
        <v>583.34</v>
      </c>
      <c r="H1490" s="2">
        <f t="shared" ref="H1490" si="246">SUM(E1490:E1495)</f>
        <v>30</v>
      </c>
    </row>
    <row r="1491" spans="1:8" hidden="1" x14ac:dyDescent="0.25">
      <c r="A1491">
        <v>2024</v>
      </c>
      <c r="B1491" t="s">
        <v>15</v>
      </c>
      <c r="C1491">
        <v>2020</v>
      </c>
      <c r="D1491">
        <v>126.19</v>
      </c>
      <c r="E1491">
        <v>3</v>
      </c>
      <c r="F1491">
        <v>724256.83</v>
      </c>
      <c r="G1491">
        <v>579.87</v>
      </c>
      <c r="H1491" s="2"/>
    </row>
    <row r="1492" spans="1:8" hidden="1" x14ac:dyDescent="0.25">
      <c r="A1492">
        <v>2024</v>
      </c>
      <c r="B1492" t="s">
        <v>15</v>
      </c>
      <c r="C1492">
        <v>2021</v>
      </c>
      <c r="D1492">
        <v>204.82</v>
      </c>
      <c r="E1492">
        <v>7</v>
      </c>
      <c r="F1492">
        <v>736216.37</v>
      </c>
      <c r="G1492">
        <v>579.88</v>
      </c>
      <c r="H1492" s="2"/>
    </row>
    <row r="1493" spans="1:8" hidden="1" x14ac:dyDescent="0.25">
      <c r="A1493">
        <v>2024</v>
      </c>
      <c r="B1493" t="s">
        <v>15</v>
      </c>
      <c r="C1493">
        <v>2022</v>
      </c>
      <c r="D1493">
        <v>33.71</v>
      </c>
      <c r="E1493">
        <v>1</v>
      </c>
      <c r="F1493">
        <v>712209.78</v>
      </c>
      <c r="G1493">
        <v>580.73</v>
      </c>
      <c r="H1493" s="2"/>
    </row>
    <row r="1494" spans="1:8" hidden="1" x14ac:dyDescent="0.25">
      <c r="A1494">
        <v>2024</v>
      </c>
      <c r="B1494" t="s">
        <v>15</v>
      </c>
      <c r="C1494">
        <v>2023</v>
      </c>
      <c r="D1494">
        <v>356.22</v>
      </c>
      <c r="E1494">
        <v>4</v>
      </c>
      <c r="F1494">
        <v>728557.4</v>
      </c>
      <c r="G1494">
        <v>582.27</v>
      </c>
      <c r="H1494" s="2"/>
    </row>
    <row r="1495" spans="1:8" hidden="1" x14ac:dyDescent="0.25">
      <c r="A1495">
        <v>2024</v>
      </c>
      <c r="B1495" t="s">
        <v>15</v>
      </c>
      <c r="C1495">
        <v>2024</v>
      </c>
      <c r="D1495">
        <v>333.85</v>
      </c>
      <c r="E1495">
        <v>7</v>
      </c>
      <c r="F1495">
        <v>734967.84</v>
      </c>
      <c r="G1495">
        <v>578.86</v>
      </c>
      <c r="H1495" s="2"/>
    </row>
    <row r="1496" spans="1:8" hidden="1" x14ac:dyDescent="0.25">
      <c r="A1496">
        <v>2024</v>
      </c>
      <c r="B1496" t="s">
        <v>16</v>
      </c>
      <c r="C1496">
        <v>2019</v>
      </c>
      <c r="D1496">
        <v>224.79</v>
      </c>
      <c r="E1496">
        <v>5</v>
      </c>
      <c r="F1496">
        <v>735363.75</v>
      </c>
      <c r="G1496">
        <v>667.98</v>
      </c>
      <c r="H1496" s="2">
        <f t="shared" ref="H1496" si="247">SUM(E1496:E1501)</f>
        <v>44</v>
      </c>
    </row>
    <row r="1497" spans="1:8" hidden="1" x14ac:dyDescent="0.25">
      <c r="A1497">
        <v>2024</v>
      </c>
      <c r="B1497" t="s">
        <v>16</v>
      </c>
      <c r="C1497">
        <v>2020</v>
      </c>
      <c r="D1497">
        <v>555.17999999999995</v>
      </c>
      <c r="E1497">
        <v>13</v>
      </c>
      <c r="F1497">
        <v>712554.1</v>
      </c>
      <c r="G1497">
        <v>668.94</v>
      </c>
      <c r="H1497" s="2"/>
    </row>
    <row r="1498" spans="1:8" hidden="1" x14ac:dyDescent="0.25">
      <c r="A1498">
        <v>2024</v>
      </c>
      <c r="B1498" t="s">
        <v>16</v>
      </c>
      <c r="C1498">
        <v>2021</v>
      </c>
      <c r="D1498">
        <v>0</v>
      </c>
      <c r="E1498">
        <v>0</v>
      </c>
      <c r="F1498">
        <v>721564.84</v>
      </c>
      <c r="G1498">
        <v>664.34</v>
      </c>
      <c r="H1498" s="2"/>
    </row>
    <row r="1499" spans="1:8" hidden="1" x14ac:dyDescent="0.25">
      <c r="A1499">
        <v>2024</v>
      </c>
      <c r="B1499" t="s">
        <v>16</v>
      </c>
      <c r="C1499">
        <v>2022</v>
      </c>
      <c r="D1499">
        <v>253.61</v>
      </c>
      <c r="E1499">
        <v>11</v>
      </c>
      <c r="F1499">
        <v>683168.69</v>
      </c>
      <c r="G1499">
        <v>656.83</v>
      </c>
      <c r="H1499" s="2"/>
    </row>
    <row r="1500" spans="1:8" hidden="1" x14ac:dyDescent="0.25">
      <c r="A1500">
        <v>2024</v>
      </c>
      <c r="B1500" t="s">
        <v>16</v>
      </c>
      <c r="C1500">
        <v>2023</v>
      </c>
      <c r="D1500">
        <v>393.56</v>
      </c>
      <c r="E1500">
        <v>8</v>
      </c>
      <c r="F1500">
        <v>721170.9</v>
      </c>
      <c r="G1500">
        <v>665.08</v>
      </c>
      <c r="H1500" s="2"/>
    </row>
    <row r="1501" spans="1:8" hidden="1" x14ac:dyDescent="0.25">
      <c r="A1501">
        <v>2024</v>
      </c>
      <c r="B1501" t="s">
        <v>16</v>
      </c>
      <c r="C1501">
        <v>2024</v>
      </c>
      <c r="D1501">
        <v>282.66000000000003</v>
      </c>
      <c r="E1501">
        <v>7</v>
      </c>
      <c r="F1501">
        <v>730800.73</v>
      </c>
      <c r="G1501">
        <v>660.73</v>
      </c>
      <c r="H1501" s="2"/>
    </row>
    <row r="1502" spans="1:8" hidden="1" x14ac:dyDescent="0.25">
      <c r="A1502">
        <v>2024</v>
      </c>
      <c r="B1502" t="s">
        <v>17</v>
      </c>
      <c r="C1502">
        <v>2019</v>
      </c>
      <c r="D1502">
        <v>283.58999999999997</v>
      </c>
      <c r="E1502">
        <v>10</v>
      </c>
      <c r="F1502">
        <v>770508.65</v>
      </c>
      <c r="G1502">
        <v>556.16</v>
      </c>
      <c r="H1502" s="2">
        <f t="shared" ref="H1502" si="248">SUM(E1502:E1507)</f>
        <v>63</v>
      </c>
    </row>
    <row r="1503" spans="1:8" hidden="1" x14ac:dyDescent="0.25">
      <c r="A1503">
        <v>2024</v>
      </c>
      <c r="B1503" t="s">
        <v>17</v>
      </c>
      <c r="C1503">
        <v>2020</v>
      </c>
      <c r="D1503">
        <v>780.42</v>
      </c>
      <c r="E1503">
        <v>18</v>
      </c>
      <c r="F1503">
        <v>745727.86</v>
      </c>
      <c r="G1503">
        <v>557.23</v>
      </c>
      <c r="H1503" s="2"/>
    </row>
    <row r="1504" spans="1:8" hidden="1" x14ac:dyDescent="0.25">
      <c r="A1504">
        <v>2024</v>
      </c>
      <c r="B1504" t="s">
        <v>17</v>
      </c>
      <c r="C1504">
        <v>2021</v>
      </c>
      <c r="D1504">
        <v>0</v>
      </c>
      <c r="E1504">
        <v>0</v>
      </c>
      <c r="F1504">
        <v>755810.88</v>
      </c>
      <c r="G1504">
        <v>553.62</v>
      </c>
      <c r="H1504" s="2"/>
    </row>
    <row r="1505" spans="1:8" hidden="1" x14ac:dyDescent="0.25">
      <c r="A1505">
        <v>2024</v>
      </c>
      <c r="B1505" t="s">
        <v>17</v>
      </c>
      <c r="C1505">
        <v>2022</v>
      </c>
      <c r="D1505">
        <v>387.53</v>
      </c>
      <c r="E1505">
        <v>16</v>
      </c>
      <c r="F1505">
        <v>716332.69</v>
      </c>
      <c r="G1505">
        <v>546.27</v>
      </c>
      <c r="H1505" s="2"/>
    </row>
    <row r="1506" spans="1:8" hidden="1" x14ac:dyDescent="0.25">
      <c r="A1506">
        <v>2024</v>
      </c>
      <c r="B1506" t="s">
        <v>17</v>
      </c>
      <c r="C1506">
        <v>2023</v>
      </c>
      <c r="D1506">
        <v>518.86</v>
      </c>
      <c r="E1506">
        <v>10</v>
      </c>
      <c r="F1506">
        <v>754900.64</v>
      </c>
      <c r="G1506">
        <v>554.02</v>
      </c>
      <c r="H1506" s="2"/>
    </row>
    <row r="1507" spans="1:8" hidden="1" x14ac:dyDescent="0.25">
      <c r="A1507">
        <v>2024</v>
      </c>
      <c r="B1507" t="s">
        <v>17</v>
      </c>
      <c r="C1507">
        <v>2024</v>
      </c>
      <c r="D1507">
        <v>341.5</v>
      </c>
      <c r="E1507">
        <v>9</v>
      </c>
      <c r="F1507">
        <v>766020.69</v>
      </c>
      <c r="G1507">
        <v>550.29</v>
      </c>
      <c r="H1507" s="2"/>
    </row>
    <row r="1508" spans="1:8" hidden="1" x14ac:dyDescent="0.25">
      <c r="A1508">
        <v>2024</v>
      </c>
      <c r="B1508" t="s">
        <v>18</v>
      </c>
      <c r="C1508">
        <v>2019</v>
      </c>
      <c r="D1508">
        <v>379</v>
      </c>
      <c r="E1508">
        <v>13</v>
      </c>
      <c r="F1508">
        <v>697245.04</v>
      </c>
      <c r="G1508">
        <v>342.27</v>
      </c>
      <c r="H1508" s="2">
        <f t="shared" ref="H1508" si="249">SUM(E1508:E1513)</f>
        <v>72</v>
      </c>
    </row>
    <row r="1509" spans="1:8" hidden="1" x14ac:dyDescent="0.25">
      <c r="A1509">
        <v>2024</v>
      </c>
      <c r="B1509" t="s">
        <v>18</v>
      </c>
      <c r="C1509">
        <v>2020</v>
      </c>
      <c r="D1509">
        <v>14.13</v>
      </c>
      <c r="E1509">
        <v>4</v>
      </c>
      <c r="F1509">
        <v>675403.78</v>
      </c>
      <c r="G1509">
        <v>342.88</v>
      </c>
      <c r="H1509" s="2"/>
    </row>
    <row r="1510" spans="1:8" hidden="1" x14ac:dyDescent="0.25">
      <c r="A1510">
        <v>2024</v>
      </c>
      <c r="B1510" t="s">
        <v>18</v>
      </c>
      <c r="C1510">
        <v>2021</v>
      </c>
      <c r="D1510">
        <v>903.87</v>
      </c>
      <c r="E1510">
        <v>17</v>
      </c>
      <c r="F1510">
        <v>668449.35</v>
      </c>
      <c r="G1510">
        <v>340.69</v>
      </c>
      <c r="H1510" s="2"/>
    </row>
    <row r="1511" spans="1:8" hidden="1" x14ac:dyDescent="0.25">
      <c r="A1511">
        <v>2024</v>
      </c>
      <c r="B1511" t="s">
        <v>18</v>
      </c>
      <c r="C1511">
        <v>2022</v>
      </c>
      <c r="D1511">
        <v>1511.59</v>
      </c>
      <c r="E1511">
        <v>25</v>
      </c>
      <c r="F1511">
        <v>670066.03</v>
      </c>
      <c r="G1511">
        <v>339.61</v>
      </c>
      <c r="H1511" s="2"/>
    </row>
    <row r="1512" spans="1:8" hidden="1" x14ac:dyDescent="0.25">
      <c r="A1512">
        <v>2024</v>
      </c>
      <c r="B1512" t="s">
        <v>18</v>
      </c>
      <c r="C1512">
        <v>2023</v>
      </c>
      <c r="D1512">
        <v>118.84</v>
      </c>
      <c r="E1512">
        <v>5</v>
      </c>
      <c r="F1512">
        <v>673281.76</v>
      </c>
      <c r="G1512">
        <v>342.68</v>
      </c>
      <c r="H1512" s="2"/>
    </row>
    <row r="1513" spans="1:8" hidden="1" x14ac:dyDescent="0.25">
      <c r="A1513">
        <v>2024</v>
      </c>
      <c r="B1513" t="s">
        <v>18</v>
      </c>
      <c r="C1513">
        <v>2024</v>
      </c>
      <c r="D1513">
        <v>176.37</v>
      </c>
      <c r="E1513">
        <v>8</v>
      </c>
      <c r="F1513">
        <v>650460.94999999995</v>
      </c>
      <c r="G1513">
        <v>337.28</v>
      </c>
      <c r="H1513" s="2"/>
    </row>
    <row r="1514" spans="1:8" hidden="1" x14ac:dyDescent="0.25">
      <c r="A1514">
        <v>2024</v>
      </c>
      <c r="B1514" t="s">
        <v>19</v>
      </c>
      <c r="C1514">
        <v>2019</v>
      </c>
      <c r="D1514">
        <v>446.88</v>
      </c>
      <c r="E1514">
        <v>11</v>
      </c>
      <c r="F1514">
        <v>727977.12</v>
      </c>
      <c r="G1514">
        <v>342.04</v>
      </c>
      <c r="H1514" s="2">
        <f t="shared" ref="H1514" si="250">SUM(E1514:E1519)</f>
        <v>67</v>
      </c>
    </row>
    <row r="1515" spans="1:8" hidden="1" x14ac:dyDescent="0.25">
      <c r="A1515">
        <v>2024</v>
      </c>
      <c r="B1515" t="s">
        <v>19</v>
      </c>
      <c r="C1515">
        <v>2020</v>
      </c>
      <c r="D1515">
        <v>242.27</v>
      </c>
      <c r="E1515">
        <v>8</v>
      </c>
      <c r="F1515">
        <v>703971.56</v>
      </c>
      <c r="G1515">
        <v>341.27</v>
      </c>
      <c r="H1515" s="2"/>
    </row>
    <row r="1516" spans="1:8" hidden="1" x14ac:dyDescent="0.25">
      <c r="A1516">
        <v>2024</v>
      </c>
      <c r="B1516" t="s">
        <v>19</v>
      </c>
      <c r="C1516">
        <v>2021</v>
      </c>
      <c r="D1516">
        <v>302.25</v>
      </c>
      <c r="E1516">
        <v>5</v>
      </c>
      <c r="F1516">
        <v>701141.47</v>
      </c>
      <c r="G1516">
        <v>341.41</v>
      </c>
      <c r="H1516" s="2"/>
    </row>
    <row r="1517" spans="1:8" hidden="1" x14ac:dyDescent="0.25">
      <c r="A1517">
        <v>2024</v>
      </c>
      <c r="B1517" t="s">
        <v>19</v>
      </c>
      <c r="C1517">
        <v>2022</v>
      </c>
      <c r="D1517">
        <v>1282.08</v>
      </c>
      <c r="E1517">
        <v>32</v>
      </c>
      <c r="F1517">
        <v>687162.55</v>
      </c>
      <c r="G1517">
        <v>338.79</v>
      </c>
      <c r="H1517" s="2"/>
    </row>
    <row r="1518" spans="1:8" hidden="1" x14ac:dyDescent="0.25">
      <c r="A1518">
        <v>2024</v>
      </c>
      <c r="B1518" t="s">
        <v>19</v>
      </c>
      <c r="C1518">
        <v>2023</v>
      </c>
      <c r="D1518">
        <v>50.49</v>
      </c>
      <c r="E1518">
        <v>2</v>
      </c>
      <c r="F1518">
        <v>706587.9</v>
      </c>
      <c r="G1518">
        <v>343.22</v>
      </c>
      <c r="H1518" s="2"/>
    </row>
    <row r="1519" spans="1:8" hidden="1" x14ac:dyDescent="0.25">
      <c r="A1519">
        <v>2024</v>
      </c>
      <c r="B1519" t="s">
        <v>19</v>
      </c>
      <c r="C1519">
        <v>2024</v>
      </c>
      <c r="D1519">
        <v>292.63</v>
      </c>
      <c r="E1519">
        <v>9</v>
      </c>
      <c r="F1519">
        <v>671703.46</v>
      </c>
      <c r="G1519">
        <v>336.89</v>
      </c>
      <c r="H1519" s="2"/>
    </row>
    <row r="1520" spans="1:8" hidden="1" x14ac:dyDescent="0.25">
      <c r="A1520">
        <v>2024</v>
      </c>
      <c r="B1520" t="s">
        <v>20</v>
      </c>
      <c r="C1520">
        <v>2019</v>
      </c>
      <c r="D1520">
        <v>598.46</v>
      </c>
      <c r="E1520">
        <v>17</v>
      </c>
      <c r="F1520">
        <v>689723.74</v>
      </c>
      <c r="G1520">
        <v>279.14</v>
      </c>
      <c r="H1520" s="2">
        <f t="shared" ref="H1520" si="251">SUM(E1520:E1525)</f>
        <v>76</v>
      </c>
    </row>
    <row r="1521" spans="1:8" hidden="1" x14ac:dyDescent="0.25">
      <c r="A1521">
        <v>2024</v>
      </c>
      <c r="B1521" t="s">
        <v>20</v>
      </c>
      <c r="C1521">
        <v>2020</v>
      </c>
      <c r="D1521">
        <v>236.82</v>
      </c>
      <c r="E1521">
        <v>8</v>
      </c>
      <c r="F1521">
        <v>677702.23</v>
      </c>
      <c r="G1521">
        <v>278.05</v>
      </c>
      <c r="H1521" s="2"/>
    </row>
    <row r="1522" spans="1:8" hidden="1" x14ac:dyDescent="0.25">
      <c r="A1522">
        <v>2024</v>
      </c>
      <c r="B1522" t="s">
        <v>20</v>
      </c>
      <c r="C1522">
        <v>2021</v>
      </c>
      <c r="D1522">
        <v>1153.27</v>
      </c>
      <c r="E1522">
        <v>34</v>
      </c>
      <c r="F1522">
        <v>645945.06999999995</v>
      </c>
      <c r="G1522">
        <v>271.75</v>
      </c>
      <c r="H1522" s="2"/>
    </row>
    <row r="1523" spans="1:8" hidden="1" x14ac:dyDescent="0.25">
      <c r="A1523">
        <v>2024</v>
      </c>
      <c r="B1523" t="s">
        <v>20</v>
      </c>
      <c r="C1523">
        <v>2022</v>
      </c>
      <c r="D1523">
        <v>107.09</v>
      </c>
      <c r="E1523">
        <v>7</v>
      </c>
      <c r="F1523">
        <v>646526.19999999995</v>
      </c>
      <c r="G1523">
        <v>278.35000000000002</v>
      </c>
      <c r="H1523" s="2"/>
    </row>
    <row r="1524" spans="1:8" hidden="1" x14ac:dyDescent="0.25">
      <c r="A1524">
        <v>2024</v>
      </c>
      <c r="B1524" t="s">
        <v>20</v>
      </c>
      <c r="C1524">
        <v>2023</v>
      </c>
      <c r="D1524">
        <v>56.67</v>
      </c>
      <c r="E1524">
        <v>4</v>
      </c>
      <c r="F1524">
        <v>670489.18999999994</v>
      </c>
      <c r="G1524">
        <v>278.73</v>
      </c>
      <c r="H1524" s="2"/>
    </row>
    <row r="1525" spans="1:8" hidden="1" x14ac:dyDescent="0.25">
      <c r="A1525">
        <v>2024</v>
      </c>
      <c r="B1525" t="s">
        <v>20</v>
      </c>
      <c r="C1525">
        <v>2024</v>
      </c>
      <c r="D1525">
        <v>112.42</v>
      </c>
      <c r="E1525">
        <v>6</v>
      </c>
      <c r="F1525">
        <v>658859.43999999994</v>
      </c>
      <c r="G1525">
        <v>279.47000000000003</v>
      </c>
      <c r="H1525" s="2"/>
    </row>
    <row r="1526" spans="1:8" hidden="1" x14ac:dyDescent="0.25">
      <c r="A1526">
        <v>2024</v>
      </c>
      <c r="B1526" t="s">
        <v>21</v>
      </c>
      <c r="C1526">
        <v>2019</v>
      </c>
      <c r="D1526">
        <v>629.29999999999995</v>
      </c>
      <c r="E1526">
        <v>18</v>
      </c>
      <c r="F1526">
        <v>587227.23</v>
      </c>
      <c r="G1526">
        <v>288.43</v>
      </c>
      <c r="H1526" s="2">
        <f t="shared" ref="H1526" si="252">SUM(E1526:E1531)</f>
        <v>170</v>
      </c>
    </row>
    <row r="1527" spans="1:8" hidden="1" x14ac:dyDescent="0.25">
      <c r="A1527">
        <v>2024</v>
      </c>
      <c r="B1527" t="s">
        <v>21</v>
      </c>
      <c r="C1527">
        <v>2020</v>
      </c>
      <c r="D1527">
        <v>802.8</v>
      </c>
      <c r="E1527">
        <v>25</v>
      </c>
      <c r="F1527">
        <v>574487.39</v>
      </c>
      <c r="G1527">
        <v>284.08</v>
      </c>
      <c r="H1527" s="2"/>
    </row>
    <row r="1528" spans="1:8" hidden="1" x14ac:dyDescent="0.25">
      <c r="A1528">
        <v>2024</v>
      </c>
      <c r="B1528" t="s">
        <v>21</v>
      </c>
      <c r="C1528">
        <v>2021</v>
      </c>
      <c r="D1528">
        <v>2507.85</v>
      </c>
      <c r="E1528">
        <v>68</v>
      </c>
      <c r="F1528">
        <v>547359.87</v>
      </c>
      <c r="G1528">
        <v>276.83</v>
      </c>
      <c r="H1528" s="2"/>
    </row>
    <row r="1529" spans="1:8" hidden="1" x14ac:dyDescent="0.25">
      <c r="A1529">
        <v>2024</v>
      </c>
      <c r="B1529" t="s">
        <v>21</v>
      </c>
      <c r="C1529">
        <v>2022</v>
      </c>
      <c r="D1529">
        <v>844.46</v>
      </c>
      <c r="E1529">
        <v>24</v>
      </c>
      <c r="F1529">
        <v>546343.23</v>
      </c>
      <c r="G1529">
        <v>283.94</v>
      </c>
      <c r="H1529" s="2"/>
    </row>
    <row r="1530" spans="1:8" hidden="1" x14ac:dyDescent="0.25">
      <c r="A1530">
        <v>2024</v>
      </c>
      <c r="B1530" t="s">
        <v>21</v>
      </c>
      <c r="C1530">
        <v>2023</v>
      </c>
      <c r="D1530">
        <v>860.17</v>
      </c>
      <c r="E1530">
        <v>26</v>
      </c>
      <c r="F1530">
        <v>570009.96</v>
      </c>
      <c r="G1530">
        <v>284.63</v>
      </c>
      <c r="H1530" s="2"/>
    </row>
    <row r="1531" spans="1:8" hidden="1" x14ac:dyDescent="0.25">
      <c r="A1531">
        <v>2024</v>
      </c>
      <c r="B1531" t="s">
        <v>21</v>
      </c>
      <c r="C1531">
        <v>2024</v>
      </c>
      <c r="D1531">
        <v>276.33</v>
      </c>
      <c r="E1531">
        <v>9</v>
      </c>
      <c r="F1531">
        <v>562140.59</v>
      </c>
      <c r="G1531">
        <v>287.10000000000002</v>
      </c>
      <c r="H1531" s="2"/>
    </row>
    <row r="1532" spans="1:8" hidden="1" x14ac:dyDescent="0.25">
      <c r="A1532">
        <v>2024</v>
      </c>
      <c r="B1532" t="s">
        <v>22</v>
      </c>
      <c r="C1532">
        <v>2019</v>
      </c>
      <c r="D1532">
        <v>139.61000000000001</v>
      </c>
      <c r="E1532">
        <v>3</v>
      </c>
      <c r="F1532">
        <v>777149.29</v>
      </c>
      <c r="G1532">
        <v>545.91999999999996</v>
      </c>
      <c r="H1532" s="2">
        <f t="shared" ref="H1532" si="253">SUM(E1532:E1537)</f>
        <v>126</v>
      </c>
    </row>
    <row r="1533" spans="1:8" hidden="1" x14ac:dyDescent="0.25">
      <c r="A1533">
        <v>2024</v>
      </c>
      <c r="B1533" t="s">
        <v>22</v>
      </c>
      <c r="C1533">
        <v>2020</v>
      </c>
      <c r="D1533">
        <v>1158.28</v>
      </c>
      <c r="E1533">
        <v>28</v>
      </c>
      <c r="F1533">
        <v>714102.36</v>
      </c>
      <c r="G1533">
        <v>522.9</v>
      </c>
      <c r="H1533" s="2"/>
    </row>
    <row r="1534" spans="1:8" hidden="1" x14ac:dyDescent="0.25">
      <c r="A1534">
        <v>2024</v>
      </c>
      <c r="B1534" t="s">
        <v>22</v>
      </c>
      <c r="C1534">
        <v>2021</v>
      </c>
      <c r="D1534">
        <v>2407.33</v>
      </c>
      <c r="E1534">
        <v>45</v>
      </c>
      <c r="F1534">
        <v>741375.2</v>
      </c>
      <c r="G1534">
        <v>524.53</v>
      </c>
      <c r="H1534" s="2"/>
    </row>
    <row r="1535" spans="1:8" hidden="1" x14ac:dyDescent="0.25">
      <c r="A1535">
        <v>2024</v>
      </c>
      <c r="B1535" t="s">
        <v>22</v>
      </c>
      <c r="C1535">
        <v>2022</v>
      </c>
      <c r="D1535">
        <v>1640.36</v>
      </c>
      <c r="E1535">
        <v>31</v>
      </c>
      <c r="F1535">
        <v>700692.73</v>
      </c>
      <c r="G1535">
        <v>523.17999999999995</v>
      </c>
      <c r="H1535" s="2"/>
    </row>
    <row r="1536" spans="1:8" hidden="1" x14ac:dyDescent="0.25">
      <c r="A1536">
        <v>2024</v>
      </c>
      <c r="B1536" t="s">
        <v>22</v>
      </c>
      <c r="C1536">
        <v>2023</v>
      </c>
      <c r="D1536">
        <v>569.17999999999995</v>
      </c>
      <c r="E1536">
        <v>13</v>
      </c>
      <c r="F1536">
        <v>750363.74</v>
      </c>
      <c r="G1536">
        <v>541.09</v>
      </c>
      <c r="H1536" s="2"/>
    </row>
    <row r="1537" spans="1:8" hidden="1" x14ac:dyDescent="0.25">
      <c r="A1537">
        <v>2024</v>
      </c>
      <c r="B1537" t="s">
        <v>22</v>
      </c>
      <c r="C1537">
        <v>2024</v>
      </c>
      <c r="D1537">
        <v>155.69</v>
      </c>
      <c r="E1537">
        <v>6</v>
      </c>
      <c r="F1537">
        <v>746053.24</v>
      </c>
      <c r="G1537">
        <v>534.65</v>
      </c>
      <c r="H1537" s="2"/>
    </row>
    <row r="1538" spans="1:8" hidden="1" x14ac:dyDescent="0.25">
      <c r="A1538">
        <v>2024</v>
      </c>
      <c r="B1538" t="s">
        <v>23</v>
      </c>
      <c r="C1538">
        <v>2019</v>
      </c>
      <c r="D1538">
        <v>35.01</v>
      </c>
      <c r="E1538">
        <v>7</v>
      </c>
      <c r="F1538">
        <v>715745.81</v>
      </c>
      <c r="G1538">
        <v>248.91</v>
      </c>
      <c r="H1538" s="2">
        <f t="shared" ref="H1538" si="254">SUM(E1538:E1543)</f>
        <v>87</v>
      </c>
    </row>
    <row r="1539" spans="1:8" hidden="1" x14ac:dyDescent="0.25">
      <c r="A1539">
        <v>2024</v>
      </c>
      <c r="B1539" t="s">
        <v>23</v>
      </c>
      <c r="C1539">
        <v>2020</v>
      </c>
      <c r="D1539">
        <v>356.27</v>
      </c>
      <c r="E1539">
        <v>12</v>
      </c>
      <c r="F1539">
        <v>712468.44</v>
      </c>
      <c r="G1539">
        <v>247.61</v>
      </c>
      <c r="H1539" s="2"/>
    </row>
    <row r="1540" spans="1:8" hidden="1" x14ac:dyDescent="0.25">
      <c r="A1540">
        <v>2024</v>
      </c>
      <c r="B1540" t="s">
        <v>23</v>
      </c>
      <c r="C1540">
        <v>2021</v>
      </c>
      <c r="D1540">
        <v>53.71</v>
      </c>
      <c r="E1540">
        <v>8</v>
      </c>
      <c r="F1540">
        <v>691762.64</v>
      </c>
      <c r="G1540">
        <v>248.8</v>
      </c>
      <c r="H1540" s="2"/>
    </row>
    <row r="1541" spans="1:8" hidden="1" x14ac:dyDescent="0.25">
      <c r="A1541">
        <v>2024</v>
      </c>
      <c r="B1541" t="s">
        <v>23</v>
      </c>
      <c r="C1541">
        <v>2022</v>
      </c>
      <c r="D1541">
        <v>1500.94</v>
      </c>
      <c r="E1541">
        <v>41</v>
      </c>
      <c r="F1541">
        <v>691157.5</v>
      </c>
      <c r="G1541">
        <v>245.41</v>
      </c>
      <c r="H1541" s="2"/>
    </row>
    <row r="1542" spans="1:8" hidden="1" x14ac:dyDescent="0.25">
      <c r="A1542">
        <v>2024</v>
      </c>
      <c r="B1542" t="s">
        <v>23</v>
      </c>
      <c r="C1542">
        <v>2023</v>
      </c>
      <c r="D1542">
        <v>55.12</v>
      </c>
      <c r="E1542">
        <v>9</v>
      </c>
      <c r="F1542">
        <v>702627.52</v>
      </c>
      <c r="G1542">
        <v>248.76</v>
      </c>
      <c r="H1542" s="2"/>
    </row>
    <row r="1543" spans="1:8" hidden="1" x14ac:dyDescent="0.25">
      <c r="A1543">
        <v>2024</v>
      </c>
      <c r="B1543" t="s">
        <v>23</v>
      </c>
      <c r="C1543">
        <v>2024</v>
      </c>
      <c r="D1543">
        <v>147.76</v>
      </c>
      <c r="E1543">
        <v>10</v>
      </c>
      <c r="F1543">
        <v>689290.53</v>
      </c>
      <c r="G1543">
        <v>247.43</v>
      </c>
      <c r="H1543" s="2"/>
    </row>
    <row r="1544" spans="1:8" hidden="1" x14ac:dyDescent="0.25">
      <c r="A1544">
        <v>2024</v>
      </c>
      <c r="B1544" t="s">
        <v>24</v>
      </c>
      <c r="C1544">
        <v>2019</v>
      </c>
      <c r="D1544">
        <v>150.44999999999999</v>
      </c>
      <c r="E1544">
        <v>4</v>
      </c>
      <c r="F1544">
        <v>812246.88</v>
      </c>
      <c r="G1544">
        <v>371.28</v>
      </c>
      <c r="H1544" s="2">
        <f t="shared" ref="H1544" si="255">SUM(E1544:E1549)</f>
        <v>33</v>
      </c>
    </row>
    <row r="1545" spans="1:8" hidden="1" x14ac:dyDescent="0.25">
      <c r="A1545">
        <v>2024</v>
      </c>
      <c r="B1545" t="s">
        <v>24</v>
      </c>
      <c r="C1545">
        <v>2020</v>
      </c>
      <c r="D1545">
        <v>0</v>
      </c>
      <c r="E1545">
        <v>0</v>
      </c>
      <c r="F1545">
        <v>783636.94</v>
      </c>
      <c r="G1545">
        <v>372.18</v>
      </c>
      <c r="H1545" s="2"/>
    </row>
    <row r="1546" spans="1:8" hidden="1" x14ac:dyDescent="0.25">
      <c r="A1546">
        <v>2024</v>
      </c>
      <c r="B1546" t="s">
        <v>24</v>
      </c>
      <c r="C1546">
        <v>2021</v>
      </c>
      <c r="D1546">
        <v>363.08</v>
      </c>
      <c r="E1546">
        <v>6</v>
      </c>
      <c r="F1546">
        <v>778732.46</v>
      </c>
      <c r="G1546">
        <v>369.84</v>
      </c>
      <c r="H1546" s="2"/>
    </row>
    <row r="1547" spans="1:8" hidden="1" x14ac:dyDescent="0.25">
      <c r="A1547">
        <v>2024</v>
      </c>
      <c r="B1547" t="s">
        <v>24</v>
      </c>
      <c r="C1547">
        <v>2022</v>
      </c>
      <c r="D1547">
        <v>1002.72</v>
      </c>
      <c r="E1547">
        <v>20</v>
      </c>
      <c r="F1547">
        <v>766918.37</v>
      </c>
      <c r="G1547">
        <v>368.21</v>
      </c>
      <c r="H1547" s="2"/>
    </row>
    <row r="1548" spans="1:8" hidden="1" x14ac:dyDescent="0.25">
      <c r="A1548">
        <v>2024</v>
      </c>
      <c r="B1548" t="s">
        <v>24</v>
      </c>
      <c r="C1548">
        <v>2023</v>
      </c>
      <c r="D1548">
        <v>0</v>
      </c>
      <c r="E1548">
        <v>0</v>
      </c>
      <c r="F1548">
        <v>793415.9</v>
      </c>
      <c r="G1548">
        <v>373.62</v>
      </c>
      <c r="H1548" s="2"/>
    </row>
    <row r="1549" spans="1:8" hidden="1" x14ac:dyDescent="0.25">
      <c r="A1549">
        <v>2024</v>
      </c>
      <c r="B1549" t="s">
        <v>24</v>
      </c>
      <c r="C1549">
        <v>2024</v>
      </c>
      <c r="D1549">
        <v>86.73</v>
      </c>
      <c r="E1549">
        <v>3</v>
      </c>
      <c r="F1549">
        <v>751551.63</v>
      </c>
      <c r="G1549">
        <v>366.96</v>
      </c>
      <c r="H1549" s="2"/>
    </row>
    <row r="1550" spans="1:8" hidden="1" x14ac:dyDescent="0.25">
      <c r="A1550">
        <v>2024</v>
      </c>
      <c r="B1550" t="s">
        <v>25</v>
      </c>
      <c r="C1550">
        <v>2019</v>
      </c>
      <c r="D1550">
        <v>90.11</v>
      </c>
      <c r="E1550">
        <v>9</v>
      </c>
      <c r="F1550">
        <v>645513.66</v>
      </c>
      <c r="G1550">
        <v>288.31</v>
      </c>
      <c r="H1550" s="2">
        <f t="shared" ref="H1550" si="256">SUM(E1550:E1555)</f>
        <v>82</v>
      </c>
    </row>
    <row r="1551" spans="1:8" hidden="1" x14ac:dyDescent="0.25">
      <c r="A1551">
        <v>2024</v>
      </c>
      <c r="B1551" t="s">
        <v>25</v>
      </c>
      <c r="C1551">
        <v>2020</v>
      </c>
      <c r="D1551">
        <v>303.95999999999998</v>
      </c>
      <c r="E1551">
        <v>13</v>
      </c>
      <c r="F1551">
        <v>643281.88</v>
      </c>
      <c r="G1551">
        <v>286.85000000000002</v>
      </c>
      <c r="H1551" s="2"/>
    </row>
    <row r="1552" spans="1:8" hidden="1" x14ac:dyDescent="0.25">
      <c r="A1552">
        <v>2024</v>
      </c>
      <c r="B1552" t="s">
        <v>25</v>
      </c>
      <c r="C1552">
        <v>2021</v>
      </c>
      <c r="D1552">
        <v>447.08</v>
      </c>
      <c r="E1552">
        <v>16</v>
      </c>
      <c r="F1552">
        <v>620242.64</v>
      </c>
      <c r="G1552">
        <v>283.32</v>
      </c>
      <c r="H1552" s="2"/>
    </row>
    <row r="1553" spans="1:8" hidden="1" x14ac:dyDescent="0.25">
      <c r="A1553">
        <v>2024</v>
      </c>
      <c r="B1553" t="s">
        <v>25</v>
      </c>
      <c r="C1553">
        <v>2022</v>
      </c>
      <c r="D1553">
        <v>991.13</v>
      </c>
      <c r="E1553">
        <v>26</v>
      </c>
      <c r="F1553">
        <v>625841.82999999996</v>
      </c>
      <c r="G1553">
        <v>283.92</v>
      </c>
      <c r="H1553" s="2"/>
    </row>
    <row r="1554" spans="1:8" hidden="1" x14ac:dyDescent="0.25">
      <c r="A1554">
        <v>2024</v>
      </c>
      <c r="B1554" t="s">
        <v>25</v>
      </c>
      <c r="C1554">
        <v>2023</v>
      </c>
      <c r="D1554">
        <v>90.2</v>
      </c>
      <c r="E1554">
        <v>8</v>
      </c>
      <c r="F1554">
        <v>638950.42000000004</v>
      </c>
      <c r="G1554">
        <v>287.41000000000003</v>
      </c>
      <c r="H1554" s="2"/>
    </row>
    <row r="1555" spans="1:8" hidden="1" x14ac:dyDescent="0.25">
      <c r="A1555">
        <v>2024</v>
      </c>
      <c r="B1555" t="s">
        <v>25</v>
      </c>
      <c r="C1555">
        <v>2024</v>
      </c>
      <c r="D1555">
        <v>173.03</v>
      </c>
      <c r="E1555">
        <v>10</v>
      </c>
      <c r="F1555">
        <v>630146.67000000004</v>
      </c>
      <c r="G1555">
        <v>287.86</v>
      </c>
      <c r="H1555" s="2"/>
    </row>
    <row r="1556" spans="1:8" hidden="1" x14ac:dyDescent="0.25">
      <c r="A1556">
        <v>2024</v>
      </c>
      <c r="B1556" t="s">
        <v>26</v>
      </c>
      <c r="C1556">
        <v>2019</v>
      </c>
      <c r="D1556">
        <v>62.33</v>
      </c>
      <c r="E1556">
        <v>2</v>
      </c>
      <c r="F1556">
        <v>627792.9</v>
      </c>
      <c r="G1556">
        <v>288.63</v>
      </c>
      <c r="H1556" s="2">
        <f t="shared" ref="H1556" si="257">SUM(E1556:E1561)</f>
        <v>58</v>
      </c>
    </row>
    <row r="1557" spans="1:8" hidden="1" x14ac:dyDescent="0.25">
      <c r="A1557">
        <v>2024</v>
      </c>
      <c r="B1557" t="s">
        <v>26</v>
      </c>
      <c r="C1557">
        <v>2020</v>
      </c>
      <c r="D1557">
        <v>87.14</v>
      </c>
      <c r="E1557">
        <v>7</v>
      </c>
      <c r="F1557">
        <v>616387.88</v>
      </c>
      <c r="G1557">
        <v>284.61</v>
      </c>
      <c r="H1557" s="2"/>
    </row>
    <row r="1558" spans="1:8" hidden="1" x14ac:dyDescent="0.25">
      <c r="A1558">
        <v>2024</v>
      </c>
      <c r="B1558" t="s">
        <v>26</v>
      </c>
      <c r="C1558">
        <v>2021</v>
      </c>
      <c r="D1558">
        <v>597.45000000000005</v>
      </c>
      <c r="E1558">
        <v>15</v>
      </c>
      <c r="F1558">
        <v>596577.11</v>
      </c>
      <c r="G1558">
        <v>280.70999999999998</v>
      </c>
      <c r="H1558" s="2"/>
    </row>
    <row r="1559" spans="1:8" hidden="1" x14ac:dyDescent="0.25">
      <c r="A1559">
        <v>2024</v>
      </c>
      <c r="B1559" t="s">
        <v>26</v>
      </c>
      <c r="C1559">
        <v>2022</v>
      </c>
      <c r="D1559">
        <v>562.47</v>
      </c>
      <c r="E1559">
        <v>16</v>
      </c>
      <c r="F1559">
        <v>595369.56000000006</v>
      </c>
      <c r="G1559">
        <v>283.35000000000002</v>
      </c>
      <c r="H1559" s="2"/>
    </row>
    <row r="1560" spans="1:8" hidden="1" x14ac:dyDescent="0.25">
      <c r="A1560">
        <v>2024</v>
      </c>
      <c r="B1560" t="s">
        <v>26</v>
      </c>
      <c r="C1560">
        <v>2023</v>
      </c>
      <c r="D1560">
        <v>424.85</v>
      </c>
      <c r="E1560">
        <v>15</v>
      </c>
      <c r="F1560">
        <v>608467.68999999994</v>
      </c>
      <c r="G1560">
        <v>284.79000000000002</v>
      </c>
      <c r="H1560" s="2"/>
    </row>
    <row r="1561" spans="1:8" hidden="1" x14ac:dyDescent="0.25">
      <c r="A1561">
        <v>2024</v>
      </c>
      <c r="B1561" t="s">
        <v>26</v>
      </c>
      <c r="C1561">
        <v>2024</v>
      </c>
      <c r="D1561">
        <v>86.16</v>
      </c>
      <c r="E1561">
        <v>3</v>
      </c>
      <c r="F1561">
        <v>601774.44999999995</v>
      </c>
      <c r="G1561">
        <v>285.01</v>
      </c>
      <c r="H1561" s="2"/>
    </row>
    <row r="1562" spans="1:8" hidden="1" x14ac:dyDescent="0.25">
      <c r="A1562">
        <v>2024</v>
      </c>
      <c r="B1562" t="s">
        <v>27</v>
      </c>
      <c r="C1562">
        <v>2019</v>
      </c>
      <c r="D1562">
        <v>128.99</v>
      </c>
      <c r="E1562">
        <v>5</v>
      </c>
      <c r="F1562">
        <v>662786.21</v>
      </c>
      <c r="G1562">
        <v>331.99</v>
      </c>
      <c r="H1562" s="2">
        <f t="shared" ref="H1562" si="258">SUM(E1562:E1567)</f>
        <v>79</v>
      </c>
    </row>
    <row r="1563" spans="1:8" hidden="1" x14ac:dyDescent="0.25">
      <c r="A1563">
        <v>2024</v>
      </c>
      <c r="B1563" t="s">
        <v>27</v>
      </c>
      <c r="C1563">
        <v>2020</v>
      </c>
      <c r="D1563">
        <v>572.92999999999995</v>
      </c>
      <c r="E1563">
        <v>12</v>
      </c>
      <c r="F1563">
        <v>643856.34</v>
      </c>
      <c r="G1563">
        <v>328.71</v>
      </c>
      <c r="H1563" s="2"/>
    </row>
    <row r="1564" spans="1:8" hidden="1" x14ac:dyDescent="0.25">
      <c r="A1564">
        <v>2024</v>
      </c>
      <c r="B1564" t="s">
        <v>27</v>
      </c>
      <c r="C1564">
        <v>2021</v>
      </c>
      <c r="D1564">
        <v>897.48</v>
      </c>
      <c r="E1564">
        <v>16</v>
      </c>
      <c r="F1564">
        <v>638476.26</v>
      </c>
      <c r="G1564">
        <v>327.45999999999998</v>
      </c>
      <c r="H1564" s="2"/>
    </row>
    <row r="1565" spans="1:8" hidden="1" x14ac:dyDescent="0.25">
      <c r="A1565">
        <v>2024</v>
      </c>
      <c r="B1565" t="s">
        <v>27</v>
      </c>
      <c r="C1565">
        <v>2022</v>
      </c>
      <c r="D1565">
        <v>1391.11</v>
      </c>
      <c r="E1565">
        <v>30</v>
      </c>
      <c r="F1565">
        <v>622710.56999999995</v>
      </c>
      <c r="G1565">
        <v>324.38</v>
      </c>
      <c r="H1565" s="2"/>
    </row>
    <row r="1566" spans="1:8" hidden="1" x14ac:dyDescent="0.25">
      <c r="A1566">
        <v>2024</v>
      </c>
      <c r="B1566" t="s">
        <v>27</v>
      </c>
      <c r="C1566">
        <v>2023</v>
      </c>
      <c r="D1566">
        <v>295.64</v>
      </c>
      <c r="E1566">
        <v>6</v>
      </c>
      <c r="F1566">
        <v>635819.53</v>
      </c>
      <c r="G1566">
        <v>329.1</v>
      </c>
      <c r="H1566" s="2"/>
    </row>
    <row r="1567" spans="1:8" hidden="1" x14ac:dyDescent="0.25">
      <c r="A1567">
        <v>2024</v>
      </c>
      <c r="B1567" t="s">
        <v>27</v>
      </c>
      <c r="C1567">
        <v>2024</v>
      </c>
      <c r="D1567">
        <v>391.79</v>
      </c>
      <c r="E1567">
        <v>10</v>
      </c>
      <c r="F1567">
        <v>634678.18999999994</v>
      </c>
      <c r="G1567">
        <v>327.27999999999997</v>
      </c>
      <c r="H1567" s="2"/>
    </row>
    <row r="1568" spans="1:8" hidden="1" x14ac:dyDescent="0.25">
      <c r="A1568">
        <v>2024</v>
      </c>
      <c r="B1568" t="s">
        <v>28</v>
      </c>
      <c r="C1568">
        <v>2019</v>
      </c>
      <c r="D1568">
        <v>1684.91</v>
      </c>
      <c r="E1568">
        <v>46</v>
      </c>
      <c r="F1568">
        <v>619050.52</v>
      </c>
      <c r="G1568">
        <v>258.88</v>
      </c>
      <c r="H1568" s="2">
        <f t="shared" ref="H1568" si="259">SUM(E1568:E1573)</f>
        <v>174</v>
      </c>
    </row>
    <row r="1569" spans="1:8" hidden="1" x14ac:dyDescent="0.25">
      <c r="A1569">
        <v>2024</v>
      </c>
      <c r="B1569" t="s">
        <v>28</v>
      </c>
      <c r="C1569">
        <v>2020</v>
      </c>
      <c r="D1569">
        <v>543.99</v>
      </c>
      <c r="E1569">
        <v>25</v>
      </c>
      <c r="F1569">
        <v>617472.72</v>
      </c>
      <c r="G1569">
        <v>261.27</v>
      </c>
      <c r="H1569" s="2"/>
    </row>
    <row r="1570" spans="1:8" hidden="1" x14ac:dyDescent="0.25">
      <c r="A1570">
        <v>2024</v>
      </c>
      <c r="B1570" t="s">
        <v>28</v>
      </c>
      <c r="C1570">
        <v>2021</v>
      </c>
      <c r="D1570">
        <v>1328.88</v>
      </c>
      <c r="E1570">
        <v>47</v>
      </c>
      <c r="F1570">
        <v>595753.03</v>
      </c>
      <c r="G1570">
        <v>256.77</v>
      </c>
      <c r="H1570" s="2"/>
    </row>
    <row r="1571" spans="1:8" hidden="1" x14ac:dyDescent="0.25">
      <c r="A1571">
        <v>2024</v>
      </c>
      <c r="B1571" t="s">
        <v>28</v>
      </c>
      <c r="C1571">
        <v>2022</v>
      </c>
      <c r="D1571">
        <v>1217.72</v>
      </c>
      <c r="E1571">
        <v>41</v>
      </c>
      <c r="F1571">
        <v>602874.19999999995</v>
      </c>
      <c r="G1571">
        <v>259.27</v>
      </c>
      <c r="H1571" s="2"/>
    </row>
    <row r="1572" spans="1:8" hidden="1" x14ac:dyDescent="0.25">
      <c r="A1572">
        <v>2024</v>
      </c>
      <c r="B1572" t="s">
        <v>28</v>
      </c>
      <c r="C1572">
        <v>2023</v>
      </c>
      <c r="D1572">
        <v>154.5</v>
      </c>
      <c r="E1572">
        <v>7</v>
      </c>
      <c r="F1572">
        <v>614054.62</v>
      </c>
      <c r="G1572">
        <v>262.7</v>
      </c>
      <c r="H1572" s="2"/>
    </row>
    <row r="1573" spans="1:8" hidden="1" x14ac:dyDescent="0.25">
      <c r="A1573">
        <v>2024</v>
      </c>
      <c r="B1573" t="s">
        <v>28</v>
      </c>
      <c r="C1573">
        <v>2024</v>
      </c>
      <c r="D1573">
        <v>146.51</v>
      </c>
      <c r="E1573">
        <v>8</v>
      </c>
      <c r="F1573">
        <v>600812.71</v>
      </c>
      <c r="G1573">
        <v>262.75</v>
      </c>
      <c r="H1573" s="2"/>
    </row>
    <row r="1574" spans="1:8" hidden="1" x14ac:dyDescent="0.25">
      <c r="A1574">
        <v>2024</v>
      </c>
      <c r="B1574" t="s">
        <v>29</v>
      </c>
      <c r="C1574">
        <v>2019</v>
      </c>
      <c r="D1574">
        <v>174.72</v>
      </c>
      <c r="E1574">
        <v>7</v>
      </c>
      <c r="F1574">
        <v>649780.85</v>
      </c>
      <c r="G1574">
        <v>342.6</v>
      </c>
      <c r="H1574" s="2">
        <f t="shared" ref="H1574" si="260">SUM(E1574:E1579)</f>
        <v>167</v>
      </c>
    </row>
    <row r="1575" spans="1:8" hidden="1" x14ac:dyDescent="0.25">
      <c r="A1575">
        <v>2024</v>
      </c>
      <c r="B1575" t="s">
        <v>29</v>
      </c>
      <c r="C1575">
        <v>2020</v>
      </c>
      <c r="D1575">
        <v>937.58</v>
      </c>
      <c r="E1575">
        <v>24</v>
      </c>
      <c r="F1575">
        <v>625095.24</v>
      </c>
      <c r="G1575">
        <v>336.98</v>
      </c>
      <c r="H1575" s="2"/>
    </row>
    <row r="1576" spans="1:8" hidden="1" x14ac:dyDescent="0.25">
      <c r="A1576">
        <v>2024</v>
      </c>
      <c r="B1576" t="s">
        <v>29</v>
      </c>
      <c r="C1576">
        <v>2021</v>
      </c>
      <c r="D1576">
        <v>1745.42</v>
      </c>
      <c r="E1576">
        <v>37</v>
      </c>
      <c r="F1576">
        <v>620555.74</v>
      </c>
      <c r="G1576">
        <v>333.11</v>
      </c>
      <c r="H1576" s="2"/>
    </row>
    <row r="1577" spans="1:8" hidden="1" x14ac:dyDescent="0.25">
      <c r="A1577">
        <v>2024</v>
      </c>
      <c r="B1577" t="s">
        <v>29</v>
      </c>
      <c r="C1577">
        <v>2022</v>
      </c>
      <c r="D1577">
        <v>4079.94</v>
      </c>
      <c r="E1577">
        <v>78</v>
      </c>
      <c r="F1577">
        <v>611907.18000000005</v>
      </c>
      <c r="G1577">
        <v>326.45</v>
      </c>
      <c r="H1577" s="2"/>
    </row>
    <row r="1578" spans="1:8" hidden="1" x14ac:dyDescent="0.25">
      <c r="A1578">
        <v>2024</v>
      </c>
      <c r="B1578" t="s">
        <v>29</v>
      </c>
      <c r="C1578">
        <v>2023</v>
      </c>
      <c r="D1578">
        <v>330.81</v>
      </c>
      <c r="E1578">
        <v>12</v>
      </c>
      <c r="F1578">
        <v>637077.52</v>
      </c>
      <c r="G1578">
        <v>340.63</v>
      </c>
      <c r="H1578" s="2"/>
    </row>
    <row r="1579" spans="1:8" hidden="1" x14ac:dyDescent="0.25">
      <c r="A1579">
        <v>2024</v>
      </c>
      <c r="B1579" t="s">
        <v>29</v>
      </c>
      <c r="C1579">
        <v>2024</v>
      </c>
      <c r="D1579">
        <v>394.98</v>
      </c>
      <c r="E1579">
        <v>9</v>
      </c>
      <c r="F1579">
        <v>618399.43999999994</v>
      </c>
      <c r="G1579">
        <v>336.09</v>
      </c>
      <c r="H1579" s="2"/>
    </row>
    <row r="1580" spans="1:8" hidden="1" x14ac:dyDescent="0.25">
      <c r="A1580">
        <v>2024</v>
      </c>
      <c r="B1580" t="s">
        <v>30</v>
      </c>
      <c r="C1580">
        <v>2019</v>
      </c>
      <c r="D1580">
        <v>2229.85</v>
      </c>
      <c r="E1580">
        <v>72</v>
      </c>
      <c r="F1580">
        <v>601229.94999999995</v>
      </c>
      <c r="G1580">
        <v>268.31</v>
      </c>
      <c r="H1580" s="2">
        <f t="shared" ref="H1580" si="261">SUM(E1580:E1585)</f>
        <v>236</v>
      </c>
    </row>
    <row r="1581" spans="1:8" hidden="1" x14ac:dyDescent="0.25">
      <c r="A1581">
        <v>2024</v>
      </c>
      <c r="B1581" t="s">
        <v>30</v>
      </c>
      <c r="C1581">
        <v>2020</v>
      </c>
      <c r="D1581">
        <v>810.21</v>
      </c>
      <c r="E1581">
        <v>27</v>
      </c>
      <c r="F1581">
        <v>600877.81999999995</v>
      </c>
      <c r="G1581">
        <v>272.26</v>
      </c>
      <c r="H1581" s="2"/>
    </row>
    <row r="1582" spans="1:8" hidden="1" x14ac:dyDescent="0.25">
      <c r="A1582">
        <v>2024</v>
      </c>
      <c r="B1582" t="s">
        <v>30</v>
      </c>
      <c r="C1582">
        <v>2021</v>
      </c>
      <c r="D1582">
        <v>1344.08</v>
      </c>
      <c r="E1582">
        <v>50</v>
      </c>
      <c r="F1582">
        <v>581484.94999999995</v>
      </c>
      <c r="G1582">
        <v>268.16000000000003</v>
      </c>
      <c r="H1582" s="2"/>
    </row>
    <row r="1583" spans="1:8" hidden="1" x14ac:dyDescent="0.25">
      <c r="A1583">
        <v>2024</v>
      </c>
      <c r="B1583" t="s">
        <v>30</v>
      </c>
      <c r="C1583">
        <v>2022</v>
      </c>
      <c r="D1583">
        <v>1997.33</v>
      </c>
      <c r="E1583">
        <v>56</v>
      </c>
      <c r="F1583">
        <v>588157.36</v>
      </c>
      <c r="G1583">
        <v>269.26</v>
      </c>
      <c r="H1583" s="2"/>
    </row>
    <row r="1584" spans="1:8" hidden="1" x14ac:dyDescent="0.25">
      <c r="A1584">
        <v>2024</v>
      </c>
      <c r="B1584" t="s">
        <v>30</v>
      </c>
      <c r="C1584">
        <v>2023</v>
      </c>
      <c r="D1584">
        <v>701.34</v>
      </c>
      <c r="E1584">
        <v>20</v>
      </c>
      <c r="F1584">
        <v>597017.52</v>
      </c>
      <c r="G1584">
        <v>273.43</v>
      </c>
      <c r="H1584" s="2"/>
    </row>
    <row r="1585" spans="1:8" hidden="1" x14ac:dyDescent="0.25">
      <c r="A1585">
        <v>2024</v>
      </c>
      <c r="B1585" t="s">
        <v>30</v>
      </c>
      <c r="C1585">
        <v>2024</v>
      </c>
      <c r="D1585">
        <v>206.45</v>
      </c>
      <c r="E1585">
        <v>11</v>
      </c>
      <c r="F1585">
        <v>586735.86</v>
      </c>
      <c r="G1585">
        <v>273.10000000000002</v>
      </c>
      <c r="H1585" s="2"/>
    </row>
    <row r="1586" spans="1:8" hidden="1" x14ac:dyDescent="0.25">
      <c r="A1586">
        <v>2024</v>
      </c>
      <c r="B1586" t="s">
        <v>31</v>
      </c>
      <c r="C1586">
        <v>2019</v>
      </c>
      <c r="D1586">
        <v>0</v>
      </c>
      <c r="E1586">
        <v>0</v>
      </c>
      <c r="F1586">
        <v>855808.01</v>
      </c>
      <c r="G1586">
        <v>535.55999999999995</v>
      </c>
      <c r="H1586" s="2">
        <f t="shared" ref="H1586" si="262">SUM(E1586:E1591)</f>
        <v>118</v>
      </c>
    </row>
    <row r="1587" spans="1:8" hidden="1" x14ac:dyDescent="0.25">
      <c r="A1587">
        <v>2024</v>
      </c>
      <c r="B1587" t="s">
        <v>31</v>
      </c>
      <c r="C1587">
        <v>2020</v>
      </c>
      <c r="D1587">
        <v>799.9</v>
      </c>
      <c r="E1587">
        <v>19</v>
      </c>
      <c r="F1587">
        <v>781394.89</v>
      </c>
      <c r="G1587">
        <v>512.64</v>
      </c>
      <c r="H1587" s="2"/>
    </row>
    <row r="1588" spans="1:8" hidden="1" x14ac:dyDescent="0.25">
      <c r="A1588">
        <v>2024</v>
      </c>
      <c r="B1588" t="s">
        <v>31</v>
      </c>
      <c r="C1588">
        <v>2021</v>
      </c>
      <c r="D1588">
        <v>2759.8</v>
      </c>
      <c r="E1588">
        <v>49</v>
      </c>
      <c r="F1588">
        <v>803693.98</v>
      </c>
      <c r="G1588">
        <v>514.57000000000005</v>
      </c>
      <c r="H1588" s="2"/>
    </row>
    <row r="1589" spans="1:8" hidden="1" x14ac:dyDescent="0.25">
      <c r="A1589">
        <v>2024</v>
      </c>
      <c r="B1589" t="s">
        <v>31</v>
      </c>
      <c r="C1589">
        <v>2022</v>
      </c>
      <c r="D1589">
        <v>1110.56</v>
      </c>
      <c r="E1589">
        <v>24</v>
      </c>
      <c r="F1589">
        <v>752777.91</v>
      </c>
      <c r="G1589">
        <v>518.11</v>
      </c>
      <c r="H1589" s="2"/>
    </row>
    <row r="1590" spans="1:8" hidden="1" x14ac:dyDescent="0.25">
      <c r="A1590">
        <v>2024</v>
      </c>
      <c r="B1590" t="s">
        <v>31</v>
      </c>
      <c r="C1590">
        <v>2023</v>
      </c>
      <c r="D1590">
        <v>642.32000000000005</v>
      </c>
      <c r="E1590">
        <v>18</v>
      </c>
      <c r="F1590">
        <v>817078.21</v>
      </c>
      <c r="G1590">
        <v>527.59</v>
      </c>
      <c r="H1590" s="2"/>
    </row>
    <row r="1591" spans="1:8" hidden="1" x14ac:dyDescent="0.25">
      <c r="A1591">
        <v>2024</v>
      </c>
      <c r="B1591" t="s">
        <v>31</v>
      </c>
      <c r="C1591">
        <v>2024</v>
      </c>
      <c r="D1591">
        <v>398.63</v>
      </c>
      <c r="E1591">
        <v>8</v>
      </c>
      <c r="F1591">
        <v>821800.02</v>
      </c>
      <c r="G1591">
        <v>517.48</v>
      </c>
      <c r="H1591" s="2"/>
    </row>
    <row r="1592" spans="1:8" hidden="1" x14ac:dyDescent="0.25">
      <c r="A1592">
        <v>2024</v>
      </c>
      <c r="B1592" t="s">
        <v>32</v>
      </c>
      <c r="C1592">
        <v>2019</v>
      </c>
      <c r="D1592">
        <v>1682.96</v>
      </c>
      <c r="E1592">
        <v>35</v>
      </c>
      <c r="F1592">
        <v>691321.83</v>
      </c>
      <c r="G1592">
        <v>490.94</v>
      </c>
      <c r="H1592" s="2">
        <f t="shared" ref="H1592" si="263">SUM(E1592:E1597)</f>
        <v>224</v>
      </c>
    </row>
    <row r="1593" spans="1:8" hidden="1" x14ac:dyDescent="0.25">
      <c r="A1593">
        <v>2024</v>
      </c>
      <c r="B1593" t="s">
        <v>32</v>
      </c>
      <c r="C1593">
        <v>2020</v>
      </c>
      <c r="D1593">
        <v>2061.12</v>
      </c>
      <c r="E1593">
        <v>41</v>
      </c>
      <c r="F1593">
        <v>668892.46</v>
      </c>
      <c r="G1593">
        <v>472.98</v>
      </c>
      <c r="H1593" s="2"/>
    </row>
    <row r="1594" spans="1:8" hidden="1" x14ac:dyDescent="0.25">
      <c r="A1594">
        <v>2024</v>
      </c>
      <c r="B1594" t="s">
        <v>32</v>
      </c>
      <c r="C1594">
        <v>2021</v>
      </c>
      <c r="D1594">
        <v>3157.16</v>
      </c>
      <c r="E1594">
        <v>79</v>
      </c>
      <c r="F1594">
        <v>684297.01</v>
      </c>
      <c r="G1594">
        <v>477.06</v>
      </c>
      <c r="H1594" s="2"/>
    </row>
    <row r="1595" spans="1:8" hidden="1" x14ac:dyDescent="0.25">
      <c r="A1595">
        <v>2024</v>
      </c>
      <c r="B1595" t="s">
        <v>32</v>
      </c>
      <c r="C1595">
        <v>2022</v>
      </c>
      <c r="D1595">
        <v>1058.58</v>
      </c>
      <c r="E1595">
        <v>25</v>
      </c>
      <c r="F1595">
        <v>700736.82</v>
      </c>
      <c r="G1595">
        <v>485.56</v>
      </c>
      <c r="H1595" s="2"/>
    </row>
    <row r="1596" spans="1:8" hidden="1" x14ac:dyDescent="0.25">
      <c r="A1596">
        <v>2024</v>
      </c>
      <c r="B1596" t="s">
        <v>32</v>
      </c>
      <c r="C1596">
        <v>2023</v>
      </c>
      <c r="D1596">
        <v>1700.23</v>
      </c>
      <c r="E1596">
        <v>36</v>
      </c>
      <c r="F1596">
        <v>699560.79</v>
      </c>
      <c r="G1596">
        <v>485.66</v>
      </c>
      <c r="H1596" s="2"/>
    </row>
    <row r="1597" spans="1:8" hidden="1" x14ac:dyDescent="0.25">
      <c r="A1597">
        <v>2024</v>
      </c>
      <c r="B1597" t="s">
        <v>32</v>
      </c>
      <c r="C1597">
        <v>2024</v>
      </c>
      <c r="D1597">
        <v>494.95</v>
      </c>
      <c r="E1597">
        <v>8</v>
      </c>
      <c r="F1597">
        <v>700338.21</v>
      </c>
      <c r="G1597">
        <v>491.85</v>
      </c>
      <c r="H1597" s="2"/>
    </row>
    <row r="1598" spans="1:8" hidden="1" x14ac:dyDescent="0.25">
      <c r="A1598">
        <v>2024</v>
      </c>
      <c r="B1598" t="s">
        <v>33</v>
      </c>
      <c r="C1598">
        <v>2019</v>
      </c>
      <c r="D1598">
        <v>0</v>
      </c>
      <c r="E1598">
        <v>0</v>
      </c>
      <c r="F1598">
        <v>775504.09</v>
      </c>
      <c r="G1598">
        <v>783.58</v>
      </c>
      <c r="H1598" s="2">
        <f t="shared" ref="H1598" si="264">SUM(E1598:E1603)</f>
        <v>25</v>
      </c>
    </row>
    <row r="1599" spans="1:8" hidden="1" x14ac:dyDescent="0.25">
      <c r="A1599">
        <v>2024</v>
      </c>
      <c r="B1599" t="s">
        <v>33</v>
      </c>
      <c r="C1599">
        <v>2020</v>
      </c>
      <c r="D1599">
        <v>0</v>
      </c>
      <c r="E1599">
        <v>0</v>
      </c>
      <c r="F1599">
        <v>749625.95</v>
      </c>
      <c r="G1599">
        <v>773.65</v>
      </c>
      <c r="H1599" s="2"/>
    </row>
    <row r="1600" spans="1:8" hidden="1" x14ac:dyDescent="0.25">
      <c r="A1600">
        <v>2024</v>
      </c>
      <c r="B1600" t="s">
        <v>33</v>
      </c>
      <c r="C1600">
        <v>2021</v>
      </c>
      <c r="D1600">
        <v>81.239999999999995</v>
      </c>
      <c r="E1600">
        <v>6</v>
      </c>
      <c r="F1600">
        <v>767986.41</v>
      </c>
      <c r="G1600">
        <v>772.45</v>
      </c>
      <c r="H1600" s="2"/>
    </row>
    <row r="1601" spans="1:8" hidden="1" x14ac:dyDescent="0.25">
      <c r="A1601">
        <v>2024</v>
      </c>
      <c r="B1601" t="s">
        <v>33</v>
      </c>
      <c r="C1601">
        <v>2022</v>
      </c>
      <c r="D1601">
        <v>306.76</v>
      </c>
      <c r="E1601">
        <v>7</v>
      </c>
      <c r="F1601">
        <v>752720.48</v>
      </c>
      <c r="G1601">
        <v>768.81</v>
      </c>
      <c r="H1601" s="2"/>
    </row>
    <row r="1602" spans="1:8" hidden="1" x14ac:dyDescent="0.25">
      <c r="A1602">
        <v>2024</v>
      </c>
      <c r="B1602" t="s">
        <v>33</v>
      </c>
      <c r="C1602">
        <v>2023</v>
      </c>
      <c r="D1602">
        <v>83.16</v>
      </c>
      <c r="E1602">
        <v>2</v>
      </c>
      <c r="F1602">
        <v>772063.24</v>
      </c>
      <c r="G1602">
        <v>787.27</v>
      </c>
      <c r="H1602" s="2"/>
    </row>
    <row r="1603" spans="1:8" hidden="1" x14ac:dyDescent="0.25">
      <c r="A1603">
        <v>2024</v>
      </c>
      <c r="B1603" t="s">
        <v>33</v>
      </c>
      <c r="C1603">
        <v>2024</v>
      </c>
      <c r="D1603">
        <v>349.38</v>
      </c>
      <c r="E1603">
        <v>10</v>
      </c>
      <c r="F1603">
        <v>764180.77</v>
      </c>
      <c r="G1603">
        <v>769.23</v>
      </c>
      <c r="H1603" s="2"/>
    </row>
    <row r="1604" spans="1:8" hidden="1" x14ac:dyDescent="0.25">
      <c r="A1604">
        <v>2024</v>
      </c>
      <c r="B1604" t="s">
        <v>34</v>
      </c>
      <c r="C1604">
        <v>2019</v>
      </c>
      <c r="D1604">
        <v>65.760000000000005</v>
      </c>
      <c r="E1604">
        <v>2</v>
      </c>
      <c r="F1604">
        <v>778569.48</v>
      </c>
      <c r="G1604">
        <v>475.52</v>
      </c>
      <c r="H1604" s="2">
        <f t="shared" ref="H1604" si="265">SUM(E1604:E1609)</f>
        <v>138</v>
      </c>
    </row>
    <row r="1605" spans="1:8" hidden="1" x14ac:dyDescent="0.25">
      <c r="A1605">
        <v>2024</v>
      </c>
      <c r="B1605" t="s">
        <v>34</v>
      </c>
      <c r="C1605">
        <v>2020</v>
      </c>
      <c r="D1605">
        <v>1989.11</v>
      </c>
      <c r="E1605">
        <v>43</v>
      </c>
      <c r="F1605">
        <v>717957.59</v>
      </c>
      <c r="G1605">
        <v>455.27</v>
      </c>
      <c r="H1605" s="2"/>
    </row>
    <row r="1606" spans="1:8" hidden="1" x14ac:dyDescent="0.25">
      <c r="A1606">
        <v>2024</v>
      </c>
      <c r="B1606" t="s">
        <v>34</v>
      </c>
      <c r="C1606">
        <v>2021</v>
      </c>
      <c r="D1606">
        <v>2939.46</v>
      </c>
      <c r="E1606">
        <v>56</v>
      </c>
      <c r="F1606">
        <v>741272.98</v>
      </c>
      <c r="G1606">
        <v>459.58</v>
      </c>
      <c r="H1606" s="2"/>
    </row>
    <row r="1607" spans="1:8" hidden="1" x14ac:dyDescent="0.25">
      <c r="A1607">
        <v>2024</v>
      </c>
      <c r="B1607" t="s">
        <v>34</v>
      </c>
      <c r="C1607">
        <v>2022</v>
      </c>
      <c r="D1607">
        <v>1453.16</v>
      </c>
      <c r="E1607">
        <v>22</v>
      </c>
      <c r="F1607">
        <v>697052.25</v>
      </c>
      <c r="G1607">
        <v>455.38</v>
      </c>
      <c r="H1607" s="2"/>
    </row>
    <row r="1608" spans="1:8" hidden="1" x14ac:dyDescent="0.25">
      <c r="A1608">
        <v>2024</v>
      </c>
      <c r="B1608" t="s">
        <v>34</v>
      </c>
      <c r="C1608">
        <v>2023</v>
      </c>
      <c r="D1608">
        <v>537.09</v>
      </c>
      <c r="E1608">
        <v>11</v>
      </c>
      <c r="F1608">
        <v>746301.47</v>
      </c>
      <c r="G1608">
        <v>472.67</v>
      </c>
      <c r="H1608" s="2"/>
    </row>
    <row r="1609" spans="1:8" hidden="1" x14ac:dyDescent="0.25">
      <c r="A1609">
        <v>2024</v>
      </c>
      <c r="B1609" t="s">
        <v>34</v>
      </c>
      <c r="C1609">
        <v>2024</v>
      </c>
      <c r="D1609">
        <v>37.44</v>
      </c>
      <c r="E1609">
        <v>4</v>
      </c>
      <c r="F1609">
        <v>742542.33</v>
      </c>
      <c r="G1609">
        <v>467.15</v>
      </c>
      <c r="H1609" s="2"/>
    </row>
    <row r="1610" spans="1:8" hidden="1" x14ac:dyDescent="0.25">
      <c r="A1610">
        <v>2024</v>
      </c>
      <c r="B1610" t="s">
        <v>35</v>
      </c>
      <c r="C1610">
        <v>2019</v>
      </c>
      <c r="D1610">
        <v>63.32</v>
      </c>
      <c r="E1610">
        <v>3</v>
      </c>
      <c r="F1610">
        <v>774926.27</v>
      </c>
      <c r="G1610">
        <v>452.25</v>
      </c>
      <c r="H1610" s="2">
        <f t="shared" ref="H1610" si="266">SUM(E1610:E1615)</f>
        <v>135</v>
      </c>
    </row>
    <row r="1611" spans="1:8" hidden="1" x14ac:dyDescent="0.25">
      <c r="A1611">
        <v>2024</v>
      </c>
      <c r="B1611" t="s">
        <v>35</v>
      </c>
      <c r="C1611">
        <v>2020</v>
      </c>
      <c r="D1611">
        <v>1896.8</v>
      </c>
      <c r="E1611">
        <v>39</v>
      </c>
      <c r="F1611">
        <v>738966.07</v>
      </c>
      <c r="G1611">
        <v>439.46</v>
      </c>
      <c r="H1611" s="2"/>
    </row>
    <row r="1612" spans="1:8" hidden="1" x14ac:dyDescent="0.25">
      <c r="A1612">
        <v>2024</v>
      </c>
      <c r="B1612" t="s">
        <v>35</v>
      </c>
      <c r="C1612">
        <v>2021</v>
      </c>
      <c r="D1612">
        <v>2754.94</v>
      </c>
      <c r="E1612">
        <v>64</v>
      </c>
      <c r="F1612">
        <v>768632.21</v>
      </c>
      <c r="G1612">
        <v>432.24</v>
      </c>
      <c r="H1612" s="2"/>
    </row>
    <row r="1613" spans="1:8" hidden="1" x14ac:dyDescent="0.25">
      <c r="A1613">
        <v>2024</v>
      </c>
      <c r="B1613" t="s">
        <v>35</v>
      </c>
      <c r="C1613">
        <v>2022</v>
      </c>
      <c r="D1613">
        <v>680.11</v>
      </c>
      <c r="E1613">
        <v>12</v>
      </c>
      <c r="F1613">
        <v>771420.53</v>
      </c>
      <c r="G1613">
        <v>444.21</v>
      </c>
      <c r="H1613" s="2"/>
    </row>
    <row r="1614" spans="1:8" hidden="1" x14ac:dyDescent="0.25">
      <c r="A1614">
        <v>2024</v>
      </c>
      <c r="B1614" t="s">
        <v>35</v>
      </c>
      <c r="C1614">
        <v>2023</v>
      </c>
      <c r="D1614">
        <v>362.9</v>
      </c>
      <c r="E1614">
        <v>8</v>
      </c>
      <c r="F1614">
        <v>782884.21</v>
      </c>
      <c r="G1614">
        <v>450.67</v>
      </c>
      <c r="H1614" s="2"/>
    </row>
    <row r="1615" spans="1:8" hidden="1" x14ac:dyDescent="0.25">
      <c r="A1615">
        <v>2024</v>
      </c>
      <c r="B1615" t="s">
        <v>35</v>
      </c>
      <c r="C1615">
        <v>2024</v>
      </c>
      <c r="D1615">
        <v>323.39</v>
      </c>
      <c r="E1615">
        <v>9</v>
      </c>
      <c r="F1615">
        <v>786385.73</v>
      </c>
      <c r="G1615">
        <v>447.71</v>
      </c>
      <c r="H1615" s="2"/>
    </row>
    <row r="1616" spans="1:8" hidden="1" x14ac:dyDescent="0.25">
      <c r="A1616">
        <v>2024</v>
      </c>
      <c r="B1616" t="s">
        <v>22</v>
      </c>
      <c r="C1616">
        <v>2019</v>
      </c>
      <c r="D1616">
        <v>139.61000000000001</v>
      </c>
      <c r="E1616">
        <v>3</v>
      </c>
      <c r="F1616">
        <v>777149.29</v>
      </c>
      <c r="G1616">
        <v>545.91999999999996</v>
      </c>
      <c r="H1616" s="2">
        <f t="shared" ref="H1616" si="267">SUM(E1616:E1621)</f>
        <v>126</v>
      </c>
    </row>
    <row r="1617" spans="1:8" hidden="1" x14ac:dyDescent="0.25">
      <c r="A1617">
        <v>2024</v>
      </c>
      <c r="B1617" t="s">
        <v>22</v>
      </c>
      <c r="C1617">
        <v>2020</v>
      </c>
      <c r="D1617">
        <v>1158.28</v>
      </c>
      <c r="E1617">
        <v>28</v>
      </c>
      <c r="F1617">
        <v>714102.36</v>
      </c>
      <c r="G1617">
        <v>522.9</v>
      </c>
      <c r="H1617" s="2"/>
    </row>
    <row r="1618" spans="1:8" hidden="1" x14ac:dyDescent="0.25">
      <c r="A1618">
        <v>2024</v>
      </c>
      <c r="B1618" t="s">
        <v>22</v>
      </c>
      <c r="C1618">
        <v>2021</v>
      </c>
      <c r="D1618">
        <v>2407.33</v>
      </c>
      <c r="E1618">
        <v>45</v>
      </c>
      <c r="F1618">
        <v>741375.2</v>
      </c>
      <c r="G1618">
        <v>524.53</v>
      </c>
      <c r="H1618" s="2"/>
    </row>
    <row r="1619" spans="1:8" hidden="1" x14ac:dyDescent="0.25">
      <c r="A1619">
        <v>2024</v>
      </c>
      <c r="B1619" t="s">
        <v>22</v>
      </c>
      <c r="C1619">
        <v>2022</v>
      </c>
      <c r="D1619">
        <v>1640.36</v>
      </c>
      <c r="E1619">
        <v>31</v>
      </c>
      <c r="F1619">
        <v>700692.73</v>
      </c>
      <c r="G1619">
        <v>523.17999999999995</v>
      </c>
      <c r="H1619" s="2"/>
    </row>
    <row r="1620" spans="1:8" hidden="1" x14ac:dyDescent="0.25">
      <c r="A1620">
        <v>2024</v>
      </c>
      <c r="B1620" t="s">
        <v>22</v>
      </c>
      <c r="C1620">
        <v>2023</v>
      </c>
      <c r="D1620">
        <v>569.17999999999995</v>
      </c>
      <c r="E1620">
        <v>13</v>
      </c>
      <c r="F1620">
        <v>750363.74</v>
      </c>
      <c r="G1620">
        <v>541.09</v>
      </c>
      <c r="H1620" s="2"/>
    </row>
    <row r="1621" spans="1:8" hidden="1" x14ac:dyDescent="0.25">
      <c r="A1621">
        <v>2024</v>
      </c>
      <c r="B1621" t="s">
        <v>22</v>
      </c>
      <c r="C1621">
        <v>2024</v>
      </c>
      <c r="D1621">
        <v>155.69</v>
      </c>
      <c r="E1621">
        <v>6</v>
      </c>
      <c r="F1621">
        <v>746053.24</v>
      </c>
      <c r="G1621">
        <v>534.65</v>
      </c>
      <c r="H1621" s="2"/>
    </row>
    <row r="1622" spans="1:8" hidden="1" x14ac:dyDescent="0.25">
      <c r="A1622">
        <v>2024</v>
      </c>
      <c r="B1622" t="s">
        <v>36</v>
      </c>
      <c r="C1622">
        <v>2019</v>
      </c>
      <c r="D1622">
        <v>77.11</v>
      </c>
      <c r="E1622">
        <v>1</v>
      </c>
      <c r="F1622">
        <v>845812.54</v>
      </c>
      <c r="G1622">
        <v>511.78</v>
      </c>
      <c r="H1622" s="2">
        <f t="shared" ref="H1622" si="268">SUM(E1622:E1627)</f>
        <v>152</v>
      </c>
    </row>
    <row r="1623" spans="1:8" hidden="1" x14ac:dyDescent="0.25">
      <c r="A1623">
        <v>2024</v>
      </c>
      <c r="B1623" t="s">
        <v>36</v>
      </c>
      <c r="C1623">
        <v>2020</v>
      </c>
      <c r="D1623">
        <v>2114.41</v>
      </c>
      <c r="E1623">
        <v>41</v>
      </c>
      <c r="F1623">
        <v>769351.68000000005</v>
      </c>
      <c r="G1623">
        <v>489.01</v>
      </c>
      <c r="H1623" s="2"/>
    </row>
    <row r="1624" spans="1:8" hidden="1" x14ac:dyDescent="0.25">
      <c r="A1624">
        <v>2024</v>
      </c>
      <c r="B1624" t="s">
        <v>36</v>
      </c>
      <c r="C1624">
        <v>2021</v>
      </c>
      <c r="D1624">
        <v>2746.62</v>
      </c>
      <c r="E1624">
        <v>48</v>
      </c>
      <c r="F1624">
        <v>802334.83</v>
      </c>
      <c r="G1624">
        <v>494.67</v>
      </c>
      <c r="H1624" s="2"/>
    </row>
    <row r="1625" spans="1:8" hidden="1" x14ac:dyDescent="0.25">
      <c r="A1625">
        <v>2024</v>
      </c>
      <c r="B1625" t="s">
        <v>36</v>
      </c>
      <c r="C1625">
        <v>2022</v>
      </c>
      <c r="D1625">
        <v>1350.38</v>
      </c>
      <c r="E1625">
        <v>33</v>
      </c>
      <c r="F1625">
        <v>745878.3</v>
      </c>
      <c r="G1625">
        <v>491.53</v>
      </c>
      <c r="H1625" s="2"/>
    </row>
    <row r="1626" spans="1:8" hidden="1" x14ac:dyDescent="0.25">
      <c r="A1626">
        <v>2024</v>
      </c>
      <c r="B1626" t="s">
        <v>36</v>
      </c>
      <c r="C1626">
        <v>2023</v>
      </c>
      <c r="D1626">
        <v>1051.5899999999999</v>
      </c>
      <c r="E1626">
        <v>25</v>
      </c>
      <c r="F1626">
        <v>808771.62</v>
      </c>
      <c r="G1626">
        <v>505.4</v>
      </c>
      <c r="H1626" s="2"/>
    </row>
    <row r="1627" spans="1:8" hidden="1" x14ac:dyDescent="0.25">
      <c r="A1627">
        <v>2024</v>
      </c>
      <c r="B1627" t="s">
        <v>36</v>
      </c>
      <c r="C1627">
        <v>2024</v>
      </c>
      <c r="D1627">
        <v>238.58</v>
      </c>
      <c r="E1627">
        <v>4</v>
      </c>
      <c r="F1627">
        <v>817043.75</v>
      </c>
      <c r="G1627">
        <v>499.19</v>
      </c>
      <c r="H1627" s="2"/>
    </row>
    <row r="1628" spans="1:8" hidden="1" x14ac:dyDescent="0.25">
      <c r="A1628">
        <v>2024</v>
      </c>
      <c r="B1628" t="s">
        <v>37</v>
      </c>
      <c r="C1628">
        <v>2019</v>
      </c>
      <c r="D1628">
        <v>0</v>
      </c>
      <c r="E1628">
        <v>0</v>
      </c>
      <c r="F1628">
        <v>910609.35</v>
      </c>
      <c r="G1628">
        <v>494.87</v>
      </c>
      <c r="H1628" s="2">
        <f t="shared" ref="H1628" si="269">SUM(E1628:E1633)</f>
        <v>126</v>
      </c>
    </row>
    <row r="1629" spans="1:8" hidden="1" x14ac:dyDescent="0.25">
      <c r="A1629">
        <v>2024</v>
      </c>
      <c r="B1629" t="s">
        <v>37</v>
      </c>
      <c r="C1629">
        <v>2020</v>
      </c>
      <c r="D1629">
        <v>1106.04</v>
      </c>
      <c r="E1629">
        <v>24</v>
      </c>
      <c r="F1629">
        <v>833999.04</v>
      </c>
      <c r="G1629">
        <v>477.67</v>
      </c>
      <c r="H1629" s="2"/>
    </row>
    <row r="1630" spans="1:8" hidden="1" x14ac:dyDescent="0.25">
      <c r="A1630">
        <v>2024</v>
      </c>
      <c r="B1630" t="s">
        <v>37</v>
      </c>
      <c r="C1630">
        <v>2021</v>
      </c>
      <c r="D1630">
        <v>2827.42</v>
      </c>
      <c r="E1630">
        <v>54</v>
      </c>
      <c r="F1630">
        <v>859267.33</v>
      </c>
      <c r="G1630">
        <v>477.04</v>
      </c>
      <c r="H1630" s="2"/>
    </row>
    <row r="1631" spans="1:8" hidden="1" x14ac:dyDescent="0.25">
      <c r="A1631">
        <v>2024</v>
      </c>
      <c r="B1631" t="s">
        <v>37</v>
      </c>
      <c r="C1631">
        <v>2022</v>
      </c>
      <c r="D1631">
        <v>1263.6099999999999</v>
      </c>
      <c r="E1631">
        <v>24</v>
      </c>
      <c r="F1631">
        <v>806028.69</v>
      </c>
      <c r="G1631">
        <v>480.62</v>
      </c>
      <c r="H1631" s="2"/>
    </row>
    <row r="1632" spans="1:8" hidden="1" x14ac:dyDescent="0.25">
      <c r="A1632">
        <v>2024</v>
      </c>
      <c r="B1632" t="s">
        <v>37</v>
      </c>
      <c r="C1632">
        <v>2023</v>
      </c>
      <c r="D1632">
        <v>453.1</v>
      </c>
      <c r="E1632">
        <v>11</v>
      </c>
      <c r="F1632">
        <v>881185.28000000003</v>
      </c>
      <c r="G1632">
        <v>488.44</v>
      </c>
      <c r="H1632" s="2"/>
    </row>
    <row r="1633" spans="1:9" hidden="1" x14ac:dyDescent="0.25">
      <c r="A1633">
        <v>2024</v>
      </c>
      <c r="B1633" t="s">
        <v>37</v>
      </c>
      <c r="C1633">
        <v>2024</v>
      </c>
      <c r="D1633">
        <v>625.45000000000005</v>
      </c>
      <c r="E1633">
        <v>13</v>
      </c>
      <c r="F1633">
        <v>875939.69</v>
      </c>
      <c r="G1633">
        <v>478.6</v>
      </c>
      <c r="H1633" s="2"/>
    </row>
    <row r="1634" spans="1:9" x14ac:dyDescent="0.25">
      <c r="A1634">
        <v>2024</v>
      </c>
      <c r="B1634" t="s">
        <v>38</v>
      </c>
      <c r="C1634">
        <v>2019</v>
      </c>
      <c r="D1634">
        <v>231.38</v>
      </c>
      <c r="E1634">
        <v>5</v>
      </c>
      <c r="F1634">
        <v>784601.7</v>
      </c>
      <c r="G1634">
        <v>464.84</v>
      </c>
      <c r="H1634" s="2">
        <f t="shared" ref="H1634" si="270">SUM(E1634:E1639)</f>
        <v>146</v>
      </c>
      <c r="I1634" s="1">
        <v>2024</v>
      </c>
    </row>
    <row r="1635" spans="1:9" x14ac:dyDescent="0.25">
      <c r="A1635">
        <v>2024</v>
      </c>
      <c r="B1635" t="s">
        <v>38</v>
      </c>
      <c r="C1635">
        <v>2020</v>
      </c>
      <c r="D1635">
        <v>2082.15</v>
      </c>
      <c r="E1635">
        <v>37</v>
      </c>
      <c r="F1635">
        <v>716171.94</v>
      </c>
      <c r="G1635">
        <v>445.32</v>
      </c>
      <c r="H1635" s="2"/>
      <c r="I1635" s="1"/>
    </row>
    <row r="1636" spans="1:9" x14ac:dyDescent="0.25">
      <c r="A1636">
        <v>2024</v>
      </c>
      <c r="B1636" t="s">
        <v>38</v>
      </c>
      <c r="C1636">
        <v>2021</v>
      </c>
      <c r="D1636">
        <v>2683.88</v>
      </c>
      <c r="E1636">
        <v>48</v>
      </c>
      <c r="F1636">
        <v>751786.57</v>
      </c>
      <c r="G1636">
        <v>446.76</v>
      </c>
      <c r="H1636" s="2"/>
      <c r="I1636" s="1"/>
    </row>
    <row r="1637" spans="1:9" x14ac:dyDescent="0.25">
      <c r="A1637">
        <v>2024</v>
      </c>
      <c r="B1637" t="s">
        <v>38</v>
      </c>
      <c r="C1637">
        <v>2022</v>
      </c>
      <c r="D1637">
        <v>996.49</v>
      </c>
      <c r="E1637">
        <v>23</v>
      </c>
      <c r="F1637">
        <v>715257.45</v>
      </c>
      <c r="G1637">
        <v>449.84</v>
      </c>
      <c r="H1637" s="2"/>
      <c r="I1637" s="1"/>
    </row>
    <row r="1638" spans="1:9" x14ac:dyDescent="0.25">
      <c r="A1638">
        <v>2024</v>
      </c>
      <c r="B1638" t="s">
        <v>38</v>
      </c>
      <c r="C1638">
        <v>2023</v>
      </c>
      <c r="D1638">
        <v>1190.32</v>
      </c>
      <c r="E1638">
        <v>26</v>
      </c>
      <c r="F1638">
        <v>760073.56</v>
      </c>
      <c r="G1638">
        <v>461.23</v>
      </c>
      <c r="H1638" s="2"/>
      <c r="I1638" s="1"/>
    </row>
    <row r="1639" spans="1:9" x14ac:dyDescent="0.25">
      <c r="A1639">
        <v>2024</v>
      </c>
      <c r="B1639" t="s">
        <v>38</v>
      </c>
      <c r="C1639">
        <v>2024</v>
      </c>
      <c r="D1639">
        <v>386.01</v>
      </c>
      <c r="E1639">
        <v>7</v>
      </c>
      <c r="F1639">
        <v>767049.16</v>
      </c>
      <c r="G1639">
        <v>456.73</v>
      </c>
      <c r="H1639" s="2"/>
      <c r="I1639" s="1"/>
    </row>
    <row r="1640" spans="1:9" hidden="1" x14ac:dyDescent="0.25">
      <c r="A1640">
        <v>2024</v>
      </c>
      <c r="B1640" t="s">
        <v>39</v>
      </c>
      <c r="C1640">
        <v>2019</v>
      </c>
      <c r="D1640">
        <v>0</v>
      </c>
      <c r="E1640">
        <v>0</v>
      </c>
      <c r="F1640">
        <v>775504.09</v>
      </c>
      <c r="G1640">
        <v>783.58</v>
      </c>
      <c r="H1640" s="2">
        <f t="shared" ref="H1640" si="271">SUM(E1640:E1645)</f>
        <v>25</v>
      </c>
    </row>
    <row r="1641" spans="1:9" hidden="1" x14ac:dyDescent="0.25">
      <c r="A1641">
        <v>2024</v>
      </c>
      <c r="B1641" t="s">
        <v>39</v>
      </c>
      <c r="C1641">
        <v>2020</v>
      </c>
      <c r="D1641">
        <v>0</v>
      </c>
      <c r="E1641">
        <v>0</v>
      </c>
      <c r="F1641">
        <v>749625.95</v>
      </c>
      <c r="G1641">
        <v>773.65</v>
      </c>
      <c r="H1641" s="2"/>
    </row>
    <row r="1642" spans="1:9" hidden="1" x14ac:dyDescent="0.25">
      <c r="A1642">
        <v>2024</v>
      </c>
      <c r="B1642" t="s">
        <v>39</v>
      </c>
      <c r="C1642">
        <v>2021</v>
      </c>
      <c r="D1642">
        <v>81.239999999999995</v>
      </c>
      <c r="E1642">
        <v>6</v>
      </c>
      <c r="F1642">
        <v>767986.41</v>
      </c>
      <c r="G1642">
        <v>772.45</v>
      </c>
      <c r="H1642" s="2"/>
    </row>
    <row r="1643" spans="1:9" hidden="1" x14ac:dyDescent="0.25">
      <c r="A1643">
        <v>2024</v>
      </c>
      <c r="B1643" t="s">
        <v>39</v>
      </c>
      <c r="C1643">
        <v>2022</v>
      </c>
      <c r="D1643">
        <v>306.76</v>
      </c>
      <c r="E1643">
        <v>7</v>
      </c>
      <c r="F1643">
        <v>752720.48</v>
      </c>
      <c r="G1643">
        <v>768.81</v>
      </c>
      <c r="H1643" s="2"/>
    </row>
    <row r="1644" spans="1:9" hidden="1" x14ac:dyDescent="0.25">
      <c r="A1644">
        <v>2024</v>
      </c>
      <c r="B1644" t="s">
        <v>39</v>
      </c>
      <c r="C1644">
        <v>2023</v>
      </c>
      <c r="D1644">
        <v>83.16</v>
      </c>
      <c r="E1644">
        <v>2</v>
      </c>
      <c r="F1644">
        <v>772063.24</v>
      </c>
      <c r="G1644">
        <v>787.27</v>
      </c>
      <c r="H1644" s="2"/>
    </row>
    <row r="1645" spans="1:9" hidden="1" x14ac:dyDescent="0.25">
      <c r="A1645">
        <v>2024</v>
      </c>
      <c r="B1645" t="s">
        <v>39</v>
      </c>
      <c r="C1645">
        <v>2024</v>
      </c>
      <c r="D1645">
        <v>349.38</v>
      </c>
      <c r="E1645">
        <v>10</v>
      </c>
      <c r="F1645">
        <v>764180.77</v>
      </c>
      <c r="G1645">
        <v>769.23</v>
      </c>
      <c r="H1645" s="2"/>
    </row>
    <row r="1646" spans="1:9" hidden="1" x14ac:dyDescent="0.25">
      <c r="A1646">
        <v>2024</v>
      </c>
      <c r="B1646" t="s">
        <v>40</v>
      </c>
      <c r="C1646">
        <v>2019</v>
      </c>
      <c r="D1646">
        <v>468</v>
      </c>
      <c r="E1646">
        <v>12</v>
      </c>
      <c r="F1646">
        <v>779653.67</v>
      </c>
      <c r="G1646">
        <v>445.99</v>
      </c>
      <c r="H1646" s="2">
        <f t="shared" ref="H1646" si="272">SUM(E1646:E1651)</f>
        <v>88</v>
      </c>
    </row>
    <row r="1647" spans="1:9" hidden="1" x14ac:dyDescent="0.25">
      <c r="A1647">
        <v>2024</v>
      </c>
      <c r="B1647" t="s">
        <v>40</v>
      </c>
      <c r="C1647">
        <v>2020</v>
      </c>
      <c r="D1647">
        <v>495.57</v>
      </c>
      <c r="E1647">
        <v>10</v>
      </c>
      <c r="F1647">
        <v>754851.64</v>
      </c>
      <c r="G1647">
        <v>439.32</v>
      </c>
      <c r="H1647" s="2"/>
    </row>
    <row r="1648" spans="1:9" hidden="1" x14ac:dyDescent="0.25">
      <c r="A1648">
        <v>2024</v>
      </c>
      <c r="B1648" t="s">
        <v>40</v>
      </c>
      <c r="C1648">
        <v>2021</v>
      </c>
      <c r="D1648">
        <v>945.47</v>
      </c>
      <c r="E1648">
        <v>26</v>
      </c>
      <c r="F1648">
        <v>777261.19</v>
      </c>
      <c r="G1648">
        <v>439.22</v>
      </c>
      <c r="H1648" s="2"/>
    </row>
    <row r="1649" spans="1:8" hidden="1" x14ac:dyDescent="0.25">
      <c r="A1649">
        <v>2024</v>
      </c>
      <c r="B1649" t="s">
        <v>40</v>
      </c>
      <c r="C1649">
        <v>2022</v>
      </c>
      <c r="D1649">
        <v>768.8</v>
      </c>
      <c r="E1649">
        <v>20</v>
      </c>
      <c r="F1649">
        <v>747076.96</v>
      </c>
      <c r="G1649">
        <v>433.12</v>
      </c>
      <c r="H1649" s="2"/>
    </row>
    <row r="1650" spans="1:8" hidden="1" x14ac:dyDescent="0.25">
      <c r="A1650">
        <v>2024</v>
      </c>
      <c r="B1650" t="s">
        <v>40</v>
      </c>
      <c r="C1650">
        <v>2023</v>
      </c>
      <c r="D1650">
        <v>718.43</v>
      </c>
      <c r="E1650">
        <v>18</v>
      </c>
      <c r="F1650">
        <v>781496.9</v>
      </c>
      <c r="G1650">
        <v>437.89</v>
      </c>
      <c r="H1650" s="2"/>
    </row>
    <row r="1651" spans="1:8" hidden="1" x14ac:dyDescent="0.25">
      <c r="A1651">
        <v>2024</v>
      </c>
      <c r="B1651" t="s">
        <v>40</v>
      </c>
      <c r="C1651">
        <v>2024</v>
      </c>
      <c r="D1651">
        <v>40.03</v>
      </c>
      <c r="E1651">
        <v>2</v>
      </c>
      <c r="F1651">
        <v>776220.65</v>
      </c>
      <c r="G1651">
        <v>445.71</v>
      </c>
      <c r="H1651" s="2"/>
    </row>
    <row r="1652" spans="1:8" hidden="1" x14ac:dyDescent="0.25">
      <c r="A1652">
        <v>2024</v>
      </c>
      <c r="B1652" t="s">
        <v>41</v>
      </c>
      <c r="C1652">
        <v>2019</v>
      </c>
      <c r="D1652">
        <v>0</v>
      </c>
      <c r="E1652">
        <v>0</v>
      </c>
      <c r="F1652">
        <v>699832.98</v>
      </c>
      <c r="G1652">
        <v>492.52</v>
      </c>
      <c r="H1652" s="2">
        <f t="shared" ref="H1652" si="273">SUM(E1652:E1657)</f>
        <v>28</v>
      </c>
    </row>
    <row r="1653" spans="1:8" hidden="1" x14ac:dyDescent="0.25">
      <c r="A1653">
        <v>2024</v>
      </c>
      <c r="B1653" t="s">
        <v>41</v>
      </c>
      <c r="C1653">
        <v>2020</v>
      </c>
      <c r="D1653">
        <v>360.17</v>
      </c>
      <c r="E1653">
        <v>9</v>
      </c>
      <c r="F1653">
        <v>672591.23</v>
      </c>
      <c r="G1653">
        <v>486.58</v>
      </c>
      <c r="H1653" s="2"/>
    </row>
    <row r="1654" spans="1:8" hidden="1" x14ac:dyDescent="0.25">
      <c r="A1654">
        <v>2024</v>
      </c>
      <c r="B1654" t="s">
        <v>41</v>
      </c>
      <c r="C1654">
        <v>2021</v>
      </c>
      <c r="D1654">
        <v>0</v>
      </c>
      <c r="E1654">
        <v>0</v>
      </c>
      <c r="F1654">
        <v>682944.61</v>
      </c>
      <c r="G1654">
        <v>489.97</v>
      </c>
      <c r="H1654" s="2"/>
    </row>
    <row r="1655" spans="1:8" hidden="1" x14ac:dyDescent="0.25">
      <c r="A1655">
        <v>2024</v>
      </c>
      <c r="B1655" t="s">
        <v>41</v>
      </c>
      <c r="C1655">
        <v>2022</v>
      </c>
      <c r="D1655">
        <v>107.09</v>
      </c>
      <c r="E1655">
        <v>3</v>
      </c>
      <c r="F1655">
        <v>654599.66</v>
      </c>
      <c r="G1655">
        <v>485.96</v>
      </c>
      <c r="H1655" s="2"/>
    </row>
    <row r="1656" spans="1:8" hidden="1" x14ac:dyDescent="0.25">
      <c r="A1656">
        <v>2024</v>
      </c>
      <c r="B1656" t="s">
        <v>41</v>
      </c>
      <c r="C1656">
        <v>2023</v>
      </c>
      <c r="D1656">
        <v>550.29999999999995</v>
      </c>
      <c r="E1656">
        <v>11</v>
      </c>
      <c r="F1656">
        <v>684790.26</v>
      </c>
      <c r="G1656">
        <v>486.27</v>
      </c>
      <c r="H1656" s="2"/>
    </row>
    <row r="1657" spans="1:8" hidden="1" x14ac:dyDescent="0.25">
      <c r="A1657">
        <v>2024</v>
      </c>
      <c r="B1657" t="s">
        <v>41</v>
      </c>
      <c r="C1657">
        <v>2024</v>
      </c>
      <c r="D1657">
        <v>237.89</v>
      </c>
      <c r="E1657">
        <v>5</v>
      </c>
      <c r="F1657">
        <v>676736.55</v>
      </c>
      <c r="G1657">
        <v>482.43</v>
      </c>
      <c r="H1657" s="2"/>
    </row>
    <row r="1658" spans="1:8" hidden="1" x14ac:dyDescent="0.25">
      <c r="A1658">
        <v>2024</v>
      </c>
      <c r="B1658" t="s">
        <v>42</v>
      </c>
      <c r="C1658">
        <v>2019</v>
      </c>
      <c r="D1658">
        <v>0</v>
      </c>
      <c r="E1658">
        <v>0</v>
      </c>
      <c r="F1658">
        <v>632733.79</v>
      </c>
      <c r="G1658">
        <v>485.41</v>
      </c>
      <c r="H1658" s="2">
        <f t="shared" ref="H1658" si="274">SUM(E1658:E1663)</f>
        <v>49</v>
      </c>
    </row>
    <row r="1659" spans="1:8" hidden="1" x14ac:dyDescent="0.25">
      <c r="A1659">
        <v>2024</v>
      </c>
      <c r="B1659" t="s">
        <v>42</v>
      </c>
      <c r="C1659">
        <v>2020</v>
      </c>
      <c r="D1659">
        <v>663.56</v>
      </c>
      <c r="E1659">
        <v>13</v>
      </c>
      <c r="F1659">
        <v>607114.4</v>
      </c>
      <c r="G1659">
        <v>477.66</v>
      </c>
      <c r="H1659" s="2"/>
    </row>
    <row r="1660" spans="1:8" hidden="1" x14ac:dyDescent="0.25">
      <c r="A1660">
        <v>2024</v>
      </c>
      <c r="B1660" t="s">
        <v>42</v>
      </c>
      <c r="C1660">
        <v>2021</v>
      </c>
      <c r="D1660">
        <v>0</v>
      </c>
      <c r="E1660">
        <v>0</v>
      </c>
      <c r="F1660">
        <v>614258.42000000004</v>
      </c>
      <c r="G1660">
        <v>482.43</v>
      </c>
      <c r="H1660" s="2"/>
    </row>
    <row r="1661" spans="1:8" hidden="1" x14ac:dyDescent="0.25">
      <c r="A1661">
        <v>2024</v>
      </c>
      <c r="B1661" t="s">
        <v>42</v>
      </c>
      <c r="C1661">
        <v>2022</v>
      </c>
      <c r="D1661">
        <v>212.12</v>
      </c>
      <c r="E1661">
        <v>4</v>
      </c>
      <c r="F1661">
        <v>589043.1</v>
      </c>
      <c r="G1661">
        <v>476.1</v>
      </c>
      <c r="H1661" s="2"/>
    </row>
    <row r="1662" spans="1:8" hidden="1" x14ac:dyDescent="0.25">
      <c r="A1662">
        <v>2024</v>
      </c>
      <c r="B1662" t="s">
        <v>42</v>
      </c>
      <c r="C1662">
        <v>2023</v>
      </c>
      <c r="D1662">
        <v>1251.31</v>
      </c>
      <c r="E1662">
        <v>25</v>
      </c>
      <c r="F1662">
        <v>617825.51</v>
      </c>
      <c r="G1662">
        <v>477.17</v>
      </c>
      <c r="H1662" s="2"/>
    </row>
    <row r="1663" spans="1:8" hidden="1" x14ac:dyDescent="0.25">
      <c r="A1663">
        <v>2024</v>
      </c>
      <c r="B1663" t="s">
        <v>42</v>
      </c>
      <c r="C1663">
        <v>2024</v>
      </c>
      <c r="D1663">
        <v>259.73</v>
      </c>
      <c r="E1663">
        <v>7</v>
      </c>
      <c r="F1663">
        <v>613686.31000000006</v>
      </c>
      <c r="G1663">
        <v>473.92</v>
      </c>
      <c r="H1663" s="2"/>
    </row>
    <row r="1664" spans="1:8" hidden="1" x14ac:dyDescent="0.25">
      <c r="A1664">
        <v>2024</v>
      </c>
      <c r="B1664" t="s">
        <v>43</v>
      </c>
      <c r="C1664">
        <v>2019</v>
      </c>
      <c r="D1664">
        <v>245.25</v>
      </c>
      <c r="E1664">
        <v>6</v>
      </c>
      <c r="F1664">
        <v>617773.04</v>
      </c>
      <c r="G1664">
        <v>470.63</v>
      </c>
      <c r="H1664" s="2">
        <f t="shared" ref="H1664" si="275">SUM(E1664:E1669)</f>
        <v>67</v>
      </c>
    </row>
    <row r="1665" spans="1:8" hidden="1" x14ac:dyDescent="0.25">
      <c r="A1665">
        <v>2024</v>
      </c>
      <c r="B1665" t="s">
        <v>43</v>
      </c>
      <c r="C1665">
        <v>2020</v>
      </c>
      <c r="D1665">
        <v>718.33</v>
      </c>
      <c r="E1665">
        <v>15</v>
      </c>
      <c r="F1665">
        <v>605391.16</v>
      </c>
      <c r="G1665">
        <v>468.29</v>
      </c>
      <c r="H1665" s="2"/>
    </row>
    <row r="1666" spans="1:8" hidden="1" x14ac:dyDescent="0.25">
      <c r="A1666">
        <v>2024</v>
      </c>
      <c r="B1666" t="s">
        <v>43</v>
      </c>
      <c r="C1666">
        <v>2021</v>
      </c>
      <c r="D1666">
        <v>692.93</v>
      </c>
      <c r="E1666">
        <v>20</v>
      </c>
      <c r="F1666">
        <v>611234.64</v>
      </c>
      <c r="G1666">
        <v>472.06</v>
      </c>
      <c r="H1666" s="2"/>
    </row>
    <row r="1667" spans="1:8" hidden="1" x14ac:dyDescent="0.25">
      <c r="A1667">
        <v>2024</v>
      </c>
      <c r="B1667" t="s">
        <v>43</v>
      </c>
      <c r="C1667">
        <v>2022</v>
      </c>
      <c r="D1667">
        <v>0.32</v>
      </c>
      <c r="E1667">
        <v>1</v>
      </c>
      <c r="F1667">
        <v>599639.51</v>
      </c>
      <c r="G1667">
        <v>469.69</v>
      </c>
      <c r="H1667" s="2"/>
    </row>
    <row r="1668" spans="1:8" hidden="1" x14ac:dyDescent="0.25">
      <c r="A1668">
        <v>2024</v>
      </c>
      <c r="B1668" t="s">
        <v>43</v>
      </c>
      <c r="C1668">
        <v>2023</v>
      </c>
      <c r="D1668">
        <v>954.38</v>
      </c>
      <c r="E1668">
        <v>18</v>
      </c>
      <c r="F1668">
        <v>615563.21</v>
      </c>
      <c r="G1668">
        <v>467.66</v>
      </c>
      <c r="H1668" s="2"/>
    </row>
    <row r="1669" spans="1:8" hidden="1" x14ac:dyDescent="0.25">
      <c r="A1669">
        <v>2024</v>
      </c>
      <c r="B1669" t="s">
        <v>43</v>
      </c>
      <c r="C1669">
        <v>2024</v>
      </c>
      <c r="D1669">
        <v>196.94</v>
      </c>
      <c r="E1669">
        <v>7</v>
      </c>
      <c r="F1669">
        <v>607130.93999999994</v>
      </c>
      <c r="G1669">
        <v>469.92</v>
      </c>
      <c r="H1669" s="2"/>
    </row>
    <row r="1670" spans="1:8" hidden="1" x14ac:dyDescent="0.25">
      <c r="A1670">
        <v>2024</v>
      </c>
      <c r="B1670" t="s">
        <v>44</v>
      </c>
      <c r="C1670">
        <v>2019</v>
      </c>
      <c r="D1670">
        <v>42.04</v>
      </c>
      <c r="E1670">
        <v>1</v>
      </c>
      <c r="F1670">
        <v>531545.09</v>
      </c>
      <c r="G1670">
        <v>599.74</v>
      </c>
      <c r="H1670" s="2">
        <f t="shared" ref="H1670" si="276">SUM(E1670:E1675)</f>
        <v>50</v>
      </c>
    </row>
    <row r="1671" spans="1:8" hidden="1" x14ac:dyDescent="0.25">
      <c r="A1671">
        <v>2024</v>
      </c>
      <c r="B1671" t="s">
        <v>44</v>
      </c>
      <c r="C1671">
        <v>2020</v>
      </c>
      <c r="D1671">
        <v>612.05999999999995</v>
      </c>
      <c r="E1671">
        <v>14</v>
      </c>
      <c r="F1671">
        <v>516070.07</v>
      </c>
      <c r="G1671">
        <v>590.04</v>
      </c>
      <c r="H1671" s="2"/>
    </row>
    <row r="1672" spans="1:8" hidden="1" x14ac:dyDescent="0.25">
      <c r="A1672">
        <v>2024</v>
      </c>
      <c r="B1672" t="s">
        <v>44</v>
      </c>
      <c r="C1672">
        <v>2021</v>
      </c>
      <c r="D1672">
        <v>209.86</v>
      </c>
      <c r="E1672">
        <v>5</v>
      </c>
      <c r="F1672">
        <v>517259.57</v>
      </c>
      <c r="G1672">
        <v>589.54999999999995</v>
      </c>
      <c r="H1672" s="2"/>
    </row>
    <row r="1673" spans="1:8" hidden="1" x14ac:dyDescent="0.25">
      <c r="A1673">
        <v>2024</v>
      </c>
      <c r="B1673" t="s">
        <v>44</v>
      </c>
      <c r="C1673">
        <v>2022</v>
      </c>
      <c r="D1673">
        <v>30.66</v>
      </c>
      <c r="E1673">
        <v>1</v>
      </c>
      <c r="F1673">
        <v>504523.54</v>
      </c>
      <c r="G1673">
        <v>581.70000000000005</v>
      </c>
      <c r="H1673" s="2"/>
    </row>
    <row r="1674" spans="1:8" hidden="1" x14ac:dyDescent="0.25">
      <c r="A1674">
        <v>2024</v>
      </c>
      <c r="B1674" t="s">
        <v>44</v>
      </c>
      <c r="C1674">
        <v>2023</v>
      </c>
      <c r="D1674">
        <v>1616.3</v>
      </c>
      <c r="E1674">
        <v>27</v>
      </c>
      <c r="F1674">
        <v>522973.56</v>
      </c>
      <c r="G1674">
        <v>588.15</v>
      </c>
      <c r="H1674" s="2"/>
    </row>
    <row r="1675" spans="1:8" hidden="1" x14ac:dyDescent="0.25">
      <c r="A1675">
        <v>2024</v>
      </c>
      <c r="B1675" t="s">
        <v>44</v>
      </c>
      <c r="C1675">
        <v>2024</v>
      </c>
      <c r="D1675">
        <v>67.25</v>
      </c>
      <c r="E1675">
        <v>2</v>
      </c>
      <c r="F1675">
        <v>514752.49</v>
      </c>
      <c r="G1675">
        <v>583.63</v>
      </c>
      <c r="H1675" s="2"/>
    </row>
    <row r="1676" spans="1:8" hidden="1" x14ac:dyDescent="0.25">
      <c r="A1676">
        <v>2024</v>
      </c>
      <c r="B1676" t="s">
        <v>45</v>
      </c>
      <c r="C1676">
        <v>2019</v>
      </c>
      <c r="D1676">
        <v>29.73</v>
      </c>
      <c r="E1676">
        <v>5</v>
      </c>
      <c r="F1676">
        <v>942796.33</v>
      </c>
      <c r="G1676">
        <v>354.51</v>
      </c>
      <c r="H1676" s="2">
        <f t="shared" ref="H1676" si="277">SUM(E1676:E1681)</f>
        <v>74</v>
      </c>
    </row>
    <row r="1677" spans="1:8" hidden="1" x14ac:dyDescent="0.25">
      <c r="A1677">
        <v>2024</v>
      </c>
      <c r="B1677" t="s">
        <v>45</v>
      </c>
      <c r="C1677">
        <v>2020</v>
      </c>
      <c r="D1677">
        <v>114.56</v>
      </c>
      <c r="E1677">
        <v>4</v>
      </c>
      <c r="F1677">
        <v>883279.56</v>
      </c>
      <c r="G1677">
        <v>351.44</v>
      </c>
      <c r="H1677" s="2"/>
    </row>
    <row r="1678" spans="1:8" hidden="1" x14ac:dyDescent="0.25">
      <c r="A1678">
        <v>2024</v>
      </c>
      <c r="B1678" t="s">
        <v>45</v>
      </c>
      <c r="C1678">
        <v>2021</v>
      </c>
      <c r="D1678">
        <v>715.88</v>
      </c>
      <c r="E1678">
        <v>12</v>
      </c>
      <c r="F1678">
        <v>901534.1</v>
      </c>
      <c r="G1678">
        <v>351.11</v>
      </c>
      <c r="H1678" s="2"/>
    </row>
    <row r="1679" spans="1:8" hidden="1" x14ac:dyDescent="0.25">
      <c r="A1679">
        <v>2024</v>
      </c>
      <c r="B1679" t="s">
        <v>45</v>
      </c>
      <c r="C1679">
        <v>2022</v>
      </c>
      <c r="D1679">
        <v>904.7</v>
      </c>
      <c r="E1679">
        <v>22</v>
      </c>
      <c r="F1679">
        <v>862218.74</v>
      </c>
      <c r="G1679">
        <v>349.53</v>
      </c>
      <c r="H1679" s="2"/>
    </row>
    <row r="1680" spans="1:8" hidden="1" x14ac:dyDescent="0.25">
      <c r="A1680">
        <v>2024</v>
      </c>
      <c r="B1680" t="s">
        <v>45</v>
      </c>
      <c r="C1680">
        <v>2023</v>
      </c>
      <c r="D1680">
        <v>838.28</v>
      </c>
      <c r="E1680">
        <v>17</v>
      </c>
      <c r="F1680">
        <v>929555.48</v>
      </c>
      <c r="G1680">
        <v>351.25</v>
      </c>
      <c r="H1680" s="2"/>
    </row>
    <row r="1681" spans="1:8" hidden="1" x14ac:dyDescent="0.25">
      <c r="A1681">
        <v>2024</v>
      </c>
      <c r="B1681" t="s">
        <v>45</v>
      </c>
      <c r="C1681">
        <v>2024</v>
      </c>
      <c r="D1681">
        <v>666.47</v>
      </c>
      <c r="E1681">
        <v>14</v>
      </c>
      <c r="F1681">
        <v>890085.65</v>
      </c>
      <c r="G1681">
        <v>348.28</v>
      </c>
      <c r="H1681" s="2"/>
    </row>
    <row r="1682" spans="1:8" hidden="1" x14ac:dyDescent="0.25">
      <c r="A1682">
        <v>2024</v>
      </c>
      <c r="B1682" t="s">
        <v>46</v>
      </c>
      <c r="C1682">
        <v>2019</v>
      </c>
      <c r="D1682">
        <v>83.36</v>
      </c>
      <c r="E1682">
        <v>3</v>
      </c>
      <c r="F1682">
        <v>649754.96</v>
      </c>
      <c r="G1682">
        <v>358.66</v>
      </c>
      <c r="H1682" s="2">
        <f t="shared" ref="H1682" si="278">SUM(E1682:E1687)</f>
        <v>95</v>
      </c>
    </row>
    <row r="1683" spans="1:8" hidden="1" x14ac:dyDescent="0.25">
      <c r="A1683">
        <v>2024</v>
      </c>
      <c r="B1683" t="s">
        <v>46</v>
      </c>
      <c r="C1683">
        <v>2020</v>
      </c>
      <c r="D1683">
        <v>932.05</v>
      </c>
      <c r="E1683">
        <v>21</v>
      </c>
      <c r="F1683">
        <v>617879.41</v>
      </c>
      <c r="G1683">
        <v>349.02</v>
      </c>
      <c r="H1683" s="2"/>
    </row>
    <row r="1684" spans="1:8" hidden="1" x14ac:dyDescent="0.25">
      <c r="A1684">
        <v>2024</v>
      </c>
      <c r="B1684" t="s">
        <v>46</v>
      </c>
      <c r="C1684">
        <v>2021</v>
      </c>
      <c r="D1684">
        <v>1595.42</v>
      </c>
      <c r="E1684">
        <v>29</v>
      </c>
      <c r="F1684">
        <v>618311.64</v>
      </c>
      <c r="G1684">
        <v>347.72</v>
      </c>
      <c r="H1684" s="2"/>
    </row>
    <row r="1685" spans="1:8" hidden="1" x14ac:dyDescent="0.25">
      <c r="A1685">
        <v>2024</v>
      </c>
      <c r="B1685" t="s">
        <v>46</v>
      </c>
      <c r="C1685">
        <v>2022</v>
      </c>
      <c r="D1685">
        <v>1723.81</v>
      </c>
      <c r="E1685">
        <v>35</v>
      </c>
      <c r="F1685">
        <v>623879.25</v>
      </c>
      <c r="G1685">
        <v>348.2</v>
      </c>
      <c r="H1685" s="2"/>
    </row>
    <row r="1686" spans="1:8" hidden="1" x14ac:dyDescent="0.25">
      <c r="A1686">
        <v>2024</v>
      </c>
      <c r="B1686" t="s">
        <v>46</v>
      </c>
      <c r="C1686">
        <v>2023</v>
      </c>
      <c r="D1686">
        <v>40.729999999999997</v>
      </c>
      <c r="E1686">
        <v>1</v>
      </c>
      <c r="F1686">
        <v>633791.53</v>
      </c>
      <c r="G1686">
        <v>356.39</v>
      </c>
      <c r="H1686" s="2"/>
    </row>
    <row r="1687" spans="1:8" hidden="1" x14ac:dyDescent="0.25">
      <c r="A1687">
        <v>2024</v>
      </c>
      <c r="B1687" t="s">
        <v>46</v>
      </c>
      <c r="C1687">
        <v>2024</v>
      </c>
      <c r="D1687">
        <v>17.399999999999999</v>
      </c>
      <c r="E1687">
        <v>6</v>
      </c>
      <c r="F1687">
        <v>604284.38</v>
      </c>
      <c r="G1687">
        <v>344.73</v>
      </c>
      <c r="H1687" s="2"/>
    </row>
    <row r="1688" spans="1:8" hidden="1" x14ac:dyDescent="0.25">
      <c r="A1688">
        <v>2024</v>
      </c>
      <c r="B1688" t="s">
        <v>47</v>
      </c>
      <c r="C1688">
        <v>2019</v>
      </c>
      <c r="D1688">
        <v>151.53</v>
      </c>
      <c r="E1688">
        <v>3</v>
      </c>
      <c r="F1688">
        <v>748319.22</v>
      </c>
      <c r="G1688">
        <v>377.23</v>
      </c>
      <c r="H1688" s="2">
        <f t="shared" ref="H1688" si="279">SUM(E1688:E1693)</f>
        <v>54</v>
      </c>
    </row>
    <row r="1689" spans="1:8" hidden="1" x14ac:dyDescent="0.25">
      <c r="A1689">
        <v>2024</v>
      </c>
      <c r="B1689" t="s">
        <v>47</v>
      </c>
      <c r="C1689">
        <v>2020</v>
      </c>
      <c r="D1689">
        <v>272.14</v>
      </c>
      <c r="E1689">
        <v>7</v>
      </c>
      <c r="F1689">
        <v>712646.51</v>
      </c>
      <c r="G1689">
        <v>375.26</v>
      </c>
      <c r="H1689" s="2"/>
    </row>
    <row r="1690" spans="1:8" hidden="1" x14ac:dyDescent="0.25">
      <c r="A1690">
        <v>2024</v>
      </c>
      <c r="B1690" t="s">
        <v>47</v>
      </c>
      <c r="C1690">
        <v>2021</v>
      </c>
      <c r="D1690">
        <v>898.26</v>
      </c>
      <c r="E1690">
        <v>15</v>
      </c>
      <c r="F1690">
        <v>723846.33</v>
      </c>
      <c r="G1690">
        <v>374.57</v>
      </c>
      <c r="H1690" s="2"/>
    </row>
    <row r="1691" spans="1:8" hidden="1" x14ac:dyDescent="0.25">
      <c r="A1691">
        <v>2024</v>
      </c>
      <c r="B1691" t="s">
        <v>47</v>
      </c>
      <c r="C1691">
        <v>2022</v>
      </c>
      <c r="D1691">
        <v>1108.8699999999999</v>
      </c>
      <c r="E1691">
        <v>18</v>
      </c>
      <c r="F1691">
        <v>719711.58</v>
      </c>
      <c r="G1691">
        <v>373.71</v>
      </c>
      <c r="H1691" s="2"/>
    </row>
    <row r="1692" spans="1:8" hidden="1" x14ac:dyDescent="0.25">
      <c r="A1692">
        <v>2024</v>
      </c>
      <c r="B1692" t="s">
        <v>47</v>
      </c>
      <c r="C1692">
        <v>2023</v>
      </c>
      <c r="D1692">
        <v>186.15</v>
      </c>
      <c r="E1692">
        <v>4</v>
      </c>
      <c r="F1692">
        <v>730750.91</v>
      </c>
      <c r="G1692">
        <v>376.47</v>
      </c>
      <c r="H1692" s="2"/>
    </row>
    <row r="1693" spans="1:8" hidden="1" x14ac:dyDescent="0.25">
      <c r="A1693">
        <v>2024</v>
      </c>
      <c r="B1693" t="s">
        <v>47</v>
      </c>
      <c r="C1693">
        <v>2024</v>
      </c>
      <c r="D1693">
        <v>249.71</v>
      </c>
      <c r="E1693">
        <v>7</v>
      </c>
      <c r="F1693">
        <v>696780.46</v>
      </c>
      <c r="G1693">
        <v>370.04</v>
      </c>
      <c r="H1693" s="2"/>
    </row>
    <row r="1694" spans="1:8" hidden="1" x14ac:dyDescent="0.25">
      <c r="A1694">
        <v>2024</v>
      </c>
      <c r="B1694" t="s">
        <v>48</v>
      </c>
      <c r="C1694">
        <v>2019</v>
      </c>
      <c r="D1694">
        <v>319.72000000000003</v>
      </c>
      <c r="E1694">
        <v>6</v>
      </c>
      <c r="F1694">
        <v>877839.87</v>
      </c>
      <c r="G1694">
        <v>423.46</v>
      </c>
      <c r="H1694" s="2">
        <f t="shared" ref="H1694" si="280">SUM(E1694:E1699)</f>
        <v>35</v>
      </c>
    </row>
    <row r="1695" spans="1:8" hidden="1" x14ac:dyDescent="0.25">
      <c r="A1695">
        <v>2024</v>
      </c>
      <c r="B1695" t="s">
        <v>48</v>
      </c>
      <c r="C1695">
        <v>2020</v>
      </c>
      <c r="D1695">
        <v>610.17999999999995</v>
      </c>
      <c r="E1695">
        <v>13</v>
      </c>
      <c r="F1695">
        <v>845955.46</v>
      </c>
      <c r="G1695">
        <v>423.59</v>
      </c>
      <c r="H1695" s="2"/>
    </row>
    <row r="1696" spans="1:8" hidden="1" x14ac:dyDescent="0.25">
      <c r="A1696">
        <v>2024</v>
      </c>
      <c r="B1696" t="s">
        <v>48</v>
      </c>
      <c r="C1696">
        <v>2021</v>
      </c>
      <c r="D1696">
        <v>2.2599999999999998</v>
      </c>
      <c r="E1696">
        <v>1</v>
      </c>
      <c r="F1696">
        <v>858279</v>
      </c>
      <c r="G1696">
        <v>425.34</v>
      </c>
      <c r="H1696" s="2"/>
    </row>
    <row r="1697" spans="1:8" hidden="1" x14ac:dyDescent="0.25">
      <c r="A1697">
        <v>2024</v>
      </c>
      <c r="B1697" t="s">
        <v>48</v>
      </c>
      <c r="C1697">
        <v>2022</v>
      </c>
      <c r="D1697">
        <v>98.54</v>
      </c>
      <c r="E1697">
        <v>2</v>
      </c>
      <c r="F1697">
        <v>810340.7</v>
      </c>
      <c r="G1697">
        <v>421.69</v>
      </c>
      <c r="H1697" s="2"/>
    </row>
    <row r="1698" spans="1:8" hidden="1" x14ac:dyDescent="0.25">
      <c r="A1698">
        <v>2024</v>
      </c>
      <c r="B1698" t="s">
        <v>48</v>
      </c>
      <c r="C1698">
        <v>2023</v>
      </c>
      <c r="D1698">
        <v>518.28</v>
      </c>
      <c r="E1698">
        <v>9</v>
      </c>
      <c r="F1698">
        <v>863561.79</v>
      </c>
      <c r="G1698">
        <v>423.57</v>
      </c>
      <c r="H1698" s="2"/>
    </row>
    <row r="1699" spans="1:8" hidden="1" x14ac:dyDescent="0.25">
      <c r="A1699">
        <v>2024</v>
      </c>
      <c r="B1699" t="s">
        <v>48</v>
      </c>
      <c r="C1699">
        <v>2024</v>
      </c>
      <c r="D1699">
        <v>160.38999999999999</v>
      </c>
      <c r="E1699">
        <v>4</v>
      </c>
      <c r="F1699">
        <v>868381.56</v>
      </c>
      <c r="G1699">
        <v>418.48</v>
      </c>
      <c r="H1699" s="2"/>
    </row>
    <row r="1700" spans="1:8" hidden="1" x14ac:dyDescent="0.25">
      <c r="A1700">
        <v>2024</v>
      </c>
      <c r="B1700" t="s">
        <v>49</v>
      </c>
      <c r="C1700">
        <v>2019</v>
      </c>
      <c r="D1700">
        <v>144.58000000000001</v>
      </c>
      <c r="E1700">
        <v>6</v>
      </c>
      <c r="F1700">
        <v>863138.86</v>
      </c>
      <c r="G1700">
        <v>507.42</v>
      </c>
      <c r="H1700" s="2">
        <f t="shared" ref="H1700" si="281">SUM(E1700:E1705)</f>
        <v>31</v>
      </c>
    </row>
    <row r="1701" spans="1:8" hidden="1" x14ac:dyDescent="0.25">
      <c r="A1701">
        <v>2024</v>
      </c>
      <c r="B1701" t="s">
        <v>49</v>
      </c>
      <c r="C1701">
        <v>2020</v>
      </c>
      <c r="D1701">
        <v>18.8</v>
      </c>
      <c r="E1701">
        <v>1</v>
      </c>
      <c r="F1701">
        <v>834899.53</v>
      </c>
      <c r="G1701">
        <v>508.05</v>
      </c>
      <c r="H1701" s="2"/>
    </row>
    <row r="1702" spans="1:8" hidden="1" x14ac:dyDescent="0.25">
      <c r="A1702">
        <v>2024</v>
      </c>
      <c r="B1702" t="s">
        <v>49</v>
      </c>
      <c r="C1702">
        <v>2021</v>
      </c>
      <c r="D1702">
        <v>219.13</v>
      </c>
      <c r="E1702">
        <v>5</v>
      </c>
      <c r="F1702">
        <v>845872</v>
      </c>
      <c r="G1702">
        <v>507.83</v>
      </c>
      <c r="H1702" s="2"/>
    </row>
    <row r="1703" spans="1:8" hidden="1" x14ac:dyDescent="0.25">
      <c r="A1703">
        <v>2024</v>
      </c>
      <c r="B1703" t="s">
        <v>49</v>
      </c>
      <c r="C1703">
        <v>2022</v>
      </c>
      <c r="D1703">
        <v>0</v>
      </c>
      <c r="E1703">
        <v>0</v>
      </c>
      <c r="F1703">
        <v>802877.69</v>
      </c>
      <c r="G1703">
        <v>504.23</v>
      </c>
      <c r="H1703" s="2"/>
    </row>
    <row r="1704" spans="1:8" hidden="1" x14ac:dyDescent="0.25">
      <c r="A1704">
        <v>2024</v>
      </c>
      <c r="B1704" t="s">
        <v>49</v>
      </c>
      <c r="C1704">
        <v>2023</v>
      </c>
      <c r="D1704">
        <v>556.66999999999996</v>
      </c>
      <c r="E1704">
        <v>10</v>
      </c>
      <c r="F1704">
        <v>854499.57</v>
      </c>
      <c r="G1704">
        <v>506.6</v>
      </c>
      <c r="H1704" s="2"/>
    </row>
    <row r="1705" spans="1:8" hidden="1" x14ac:dyDescent="0.25">
      <c r="A1705">
        <v>2024</v>
      </c>
      <c r="B1705" t="s">
        <v>49</v>
      </c>
      <c r="C1705">
        <v>2024</v>
      </c>
      <c r="D1705">
        <v>338.7</v>
      </c>
      <c r="E1705">
        <v>9</v>
      </c>
      <c r="F1705">
        <v>854755.6</v>
      </c>
      <c r="G1705">
        <v>501.74</v>
      </c>
      <c r="H1705" s="2"/>
    </row>
    <row r="1706" spans="1:8" hidden="1" x14ac:dyDescent="0.25">
      <c r="A1706">
        <v>2024</v>
      </c>
      <c r="B1706" t="s">
        <v>50</v>
      </c>
      <c r="C1706">
        <v>2019</v>
      </c>
      <c r="D1706">
        <v>240.98</v>
      </c>
      <c r="E1706">
        <v>6</v>
      </c>
      <c r="F1706">
        <v>678888.64</v>
      </c>
      <c r="G1706">
        <v>560.84</v>
      </c>
      <c r="H1706" s="2">
        <f t="shared" ref="H1706" si="282">SUM(E1706:E1711)</f>
        <v>42</v>
      </c>
    </row>
    <row r="1707" spans="1:8" hidden="1" x14ac:dyDescent="0.25">
      <c r="A1707">
        <v>2024</v>
      </c>
      <c r="B1707" t="s">
        <v>50</v>
      </c>
      <c r="C1707">
        <v>2020</v>
      </c>
      <c r="D1707">
        <v>98.1</v>
      </c>
      <c r="E1707">
        <v>2</v>
      </c>
      <c r="F1707">
        <v>663039.16</v>
      </c>
      <c r="G1707">
        <v>564.24</v>
      </c>
      <c r="H1707" s="2"/>
    </row>
    <row r="1708" spans="1:8" hidden="1" x14ac:dyDescent="0.25">
      <c r="A1708">
        <v>2024</v>
      </c>
      <c r="B1708" t="s">
        <v>50</v>
      </c>
      <c r="C1708">
        <v>2021</v>
      </c>
      <c r="D1708">
        <v>366.72</v>
      </c>
      <c r="E1708">
        <v>8</v>
      </c>
      <c r="F1708">
        <v>667076.06000000006</v>
      </c>
      <c r="G1708">
        <v>561.29999999999995</v>
      </c>
      <c r="H1708" s="2"/>
    </row>
    <row r="1709" spans="1:8" hidden="1" x14ac:dyDescent="0.25">
      <c r="A1709">
        <v>2024</v>
      </c>
      <c r="B1709" t="s">
        <v>50</v>
      </c>
      <c r="C1709">
        <v>2022</v>
      </c>
      <c r="D1709">
        <v>712.92</v>
      </c>
      <c r="E1709">
        <v>18</v>
      </c>
      <c r="F1709">
        <v>661087.56999999995</v>
      </c>
      <c r="G1709">
        <v>553.15</v>
      </c>
      <c r="H1709" s="2"/>
    </row>
    <row r="1710" spans="1:8" hidden="1" x14ac:dyDescent="0.25">
      <c r="A1710">
        <v>2024</v>
      </c>
      <c r="B1710" t="s">
        <v>50</v>
      </c>
      <c r="C1710">
        <v>2023</v>
      </c>
      <c r="D1710">
        <v>229.63</v>
      </c>
      <c r="E1710">
        <v>5</v>
      </c>
      <c r="F1710">
        <v>666090.61</v>
      </c>
      <c r="G1710">
        <v>566.91</v>
      </c>
      <c r="H1710" s="2"/>
    </row>
    <row r="1711" spans="1:8" hidden="1" x14ac:dyDescent="0.25">
      <c r="A1711">
        <v>2024</v>
      </c>
      <c r="B1711" t="s">
        <v>50</v>
      </c>
      <c r="C1711">
        <v>2024</v>
      </c>
      <c r="D1711">
        <v>38.65</v>
      </c>
      <c r="E1711">
        <v>3</v>
      </c>
      <c r="F1711">
        <v>647512.28</v>
      </c>
      <c r="G1711">
        <v>557.89</v>
      </c>
      <c r="H1711" s="2"/>
    </row>
    <row r="1712" spans="1:8" hidden="1" x14ac:dyDescent="0.25">
      <c r="A1712">
        <v>2024</v>
      </c>
      <c r="B1712" t="s">
        <v>51</v>
      </c>
      <c r="C1712">
        <v>2019</v>
      </c>
      <c r="D1712">
        <v>581.74</v>
      </c>
      <c r="E1712">
        <v>11</v>
      </c>
      <c r="F1712">
        <v>797066.77</v>
      </c>
      <c r="G1712">
        <v>514.67999999999995</v>
      </c>
      <c r="H1712" s="2">
        <f t="shared" ref="H1712" si="283">SUM(E1712:E1717)</f>
        <v>54</v>
      </c>
    </row>
    <row r="1713" spans="1:8" hidden="1" x14ac:dyDescent="0.25">
      <c r="A1713">
        <v>2024</v>
      </c>
      <c r="B1713" t="s">
        <v>51</v>
      </c>
      <c r="C1713">
        <v>2020</v>
      </c>
      <c r="D1713">
        <v>130.76</v>
      </c>
      <c r="E1713">
        <v>5</v>
      </c>
      <c r="F1713">
        <v>755489.8</v>
      </c>
      <c r="G1713">
        <v>512.77</v>
      </c>
      <c r="H1713" s="2"/>
    </row>
    <row r="1714" spans="1:8" hidden="1" x14ac:dyDescent="0.25">
      <c r="A1714">
        <v>2024</v>
      </c>
      <c r="B1714" t="s">
        <v>51</v>
      </c>
      <c r="C1714">
        <v>2021</v>
      </c>
      <c r="D1714">
        <v>118.8</v>
      </c>
      <c r="E1714">
        <v>2</v>
      </c>
      <c r="F1714">
        <v>763780.19</v>
      </c>
      <c r="G1714">
        <v>515.37</v>
      </c>
      <c r="H1714" s="2"/>
    </row>
    <row r="1715" spans="1:8" hidden="1" x14ac:dyDescent="0.25">
      <c r="A1715">
        <v>2024</v>
      </c>
      <c r="B1715" t="s">
        <v>51</v>
      </c>
      <c r="C1715">
        <v>2022</v>
      </c>
      <c r="D1715">
        <v>1379.41</v>
      </c>
      <c r="E1715">
        <v>29</v>
      </c>
      <c r="F1715">
        <v>733503.18</v>
      </c>
      <c r="G1715">
        <v>502.32</v>
      </c>
      <c r="H1715" s="2"/>
    </row>
    <row r="1716" spans="1:8" hidden="1" x14ac:dyDescent="0.25">
      <c r="A1716">
        <v>2024</v>
      </c>
      <c r="B1716" t="s">
        <v>51</v>
      </c>
      <c r="C1716">
        <v>2023</v>
      </c>
      <c r="D1716">
        <v>15.93</v>
      </c>
      <c r="E1716">
        <v>1</v>
      </c>
      <c r="F1716">
        <v>794070.77</v>
      </c>
      <c r="G1716">
        <v>518.37</v>
      </c>
      <c r="H1716" s="2"/>
    </row>
    <row r="1717" spans="1:8" hidden="1" x14ac:dyDescent="0.25">
      <c r="A1717">
        <v>2024</v>
      </c>
      <c r="B1717" t="s">
        <v>51</v>
      </c>
      <c r="C1717">
        <v>2024</v>
      </c>
      <c r="D1717">
        <v>262.52</v>
      </c>
      <c r="E1717">
        <v>6</v>
      </c>
      <c r="F1717">
        <v>745805.55</v>
      </c>
      <c r="G1717">
        <v>506.03</v>
      </c>
      <c r="H1717" s="2"/>
    </row>
    <row r="1718" spans="1:8" hidden="1" x14ac:dyDescent="0.25">
      <c r="A1718">
        <v>2024</v>
      </c>
      <c r="B1718" t="s">
        <v>52</v>
      </c>
      <c r="C1718">
        <v>2019</v>
      </c>
      <c r="D1718">
        <v>83.24</v>
      </c>
      <c r="E1718">
        <v>2</v>
      </c>
      <c r="F1718">
        <v>825727.57</v>
      </c>
      <c r="G1718">
        <v>495.49</v>
      </c>
      <c r="H1718" s="2">
        <f t="shared" ref="H1718" si="284">SUM(E1718:E1723)</f>
        <v>54</v>
      </c>
    </row>
    <row r="1719" spans="1:8" hidden="1" x14ac:dyDescent="0.25">
      <c r="A1719">
        <v>2024</v>
      </c>
      <c r="B1719" t="s">
        <v>52</v>
      </c>
      <c r="C1719">
        <v>2020</v>
      </c>
      <c r="D1719">
        <v>525.45000000000005</v>
      </c>
      <c r="E1719">
        <v>10</v>
      </c>
      <c r="F1719">
        <v>813358</v>
      </c>
      <c r="G1719">
        <v>487.61</v>
      </c>
      <c r="H1719" s="2"/>
    </row>
    <row r="1720" spans="1:8" hidden="1" x14ac:dyDescent="0.25">
      <c r="A1720">
        <v>2024</v>
      </c>
      <c r="B1720" t="s">
        <v>52</v>
      </c>
      <c r="C1720">
        <v>2021</v>
      </c>
      <c r="D1720">
        <v>134.69</v>
      </c>
      <c r="E1720">
        <v>5</v>
      </c>
      <c r="F1720">
        <v>831311.71</v>
      </c>
      <c r="G1720">
        <v>492.06</v>
      </c>
      <c r="H1720" s="2"/>
    </row>
    <row r="1721" spans="1:8" hidden="1" x14ac:dyDescent="0.25">
      <c r="A1721">
        <v>2024</v>
      </c>
      <c r="B1721" t="s">
        <v>52</v>
      </c>
      <c r="C1721">
        <v>2022</v>
      </c>
      <c r="D1721">
        <v>578.98</v>
      </c>
      <c r="E1721">
        <v>13</v>
      </c>
      <c r="F1721">
        <v>841699.43</v>
      </c>
      <c r="G1721">
        <v>487.34</v>
      </c>
      <c r="H1721" s="2"/>
    </row>
    <row r="1722" spans="1:8" hidden="1" x14ac:dyDescent="0.25">
      <c r="A1722">
        <v>2024</v>
      </c>
      <c r="B1722" t="s">
        <v>52</v>
      </c>
      <c r="C1722">
        <v>2023</v>
      </c>
      <c r="D1722">
        <v>749.98</v>
      </c>
      <c r="E1722">
        <v>17</v>
      </c>
      <c r="F1722">
        <v>823569.04</v>
      </c>
      <c r="G1722">
        <v>491.66</v>
      </c>
      <c r="H1722" s="2"/>
    </row>
    <row r="1723" spans="1:8" hidden="1" x14ac:dyDescent="0.25">
      <c r="A1723">
        <v>2024</v>
      </c>
      <c r="B1723" t="s">
        <v>52</v>
      </c>
      <c r="C1723">
        <v>2024</v>
      </c>
      <c r="D1723">
        <v>315.89</v>
      </c>
      <c r="E1723">
        <v>7</v>
      </c>
      <c r="F1723">
        <v>815988.1</v>
      </c>
      <c r="G1723">
        <v>489.06</v>
      </c>
      <c r="H1723" s="2"/>
    </row>
    <row r="1724" spans="1:8" hidden="1" x14ac:dyDescent="0.25">
      <c r="A1724">
        <v>2024</v>
      </c>
      <c r="B1724" t="s">
        <v>53</v>
      </c>
      <c r="C1724">
        <v>2019</v>
      </c>
      <c r="D1724">
        <v>0</v>
      </c>
      <c r="E1724">
        <v>0</v>
      </c>
      <c r="F1724">
        <v>834238.87</v>
      </c>
      <c r="G1724">
        <v>552.41999999999996</v>
      </c>
      <c r="H1724" s="2">
        <f>SUM(E1724:E1729)</f>
        <v>16</v>
      </c>
    </row>
    <row r="1725" spans="1:8" hidden="1" x14ac:dyDescent="0.25">
      <c r="A1725">
        <v>2024</v>
      </c>
      <c r="B1725" t="s">
        <v>53</v>
      </c>
      <c r="C1725">
        <v>2020</v>
      </c>
      <c r="D1725">
        <v>74.930000000000007</v>
      </c>
      <c r="E1725">
        <v>1</v>
      </c>
      <c r="F1725">
        <v>803641.83</v>
      </c>
      <c r="G1725">
        <v>548.95000000000005</v>
      </c>
      <c r="H1725" s="2"/>
    </row>
    <row r="1726" spans="1:8" hidden="1" x14ac:dyDescent="0.25">
      <c r="A1726">
        <v>2024</v>
      </c>
      <c r="B1726" t="s">
        <v>53</v>
      </c>
      <c r="C1726">
        <v>2021</v>
      </c>
      <c r="D1726">
        <v>329.01</v>
      </c>
      <c r="E1726">
        <v>6</v>
      </c>
      <c r="F1726">
        <v>816557.83</v>
      </c>
      <c r="G1726">
        <v>549.63</v>
      </c>
      <c r="H1726" s="2"/>
    </row>
    <row r="1727" spans="1:8" hidden="1" x14ac:dyDescent="0.25">
      <c r="A1727">
        <v>2024</v>
      </c>
      <c r="B1727" t="s">
        <v>53</v>
      </c>
      <c r="C1727">
        <v>2022</v>
      </c>
      <c r="D1727">
        <v>0</v>
      </c>
      <c r="E1727">
        <v>0</v>
      </c>
      <c r="F1727">
        <v>809974.87</v>
      </c>
      <c r="G1727">
        <v>547.37</v>
      </c>
      <c r="H1727" s="2"/>
    </row>
    <row r="1728" spans="1:8" hidden="1" x14ac:dyDescent="0.25">
      <c r="A1728">
        <v>2024</v>
      </c>
      <c r="B1728" t="s">
        <v>53</v>
      </c>
      <c r="C1728">
        <v>2023</v>
      </c>
      <c r="D1728">
        <v>2.17</v>
      </c>
      <c r="E1728">
        <v>1</v>
      </c>
      <c r="F1728">
        <v>830047.29</v>
      </c>
      <c r="G1728">
        <v>553.82000000000005</v>
      </c>
      <c r="H1728" s="2"/>
    </row>
    <row r="1729" spans="1:8" hidden="1" x14ac:dyDescent="0.25">
      <c r="A1729">
        <v>2024</v>
      </c>
      <c r="B1729" t="s">
        <v>53</v>
      </c>
      <c r="C1729">
        <v>2024</v>
      </c>
      <c r="D1729">
        <v>340.23</v>
      </c>
      <c r="E1729">
        <v>8</v>
      </c>
      <c r="F1729">
        <v>787879.93</v>
      </c>
      <c r="G1729">
        <v>544.05999999999995</v>
      </c>
      <c r="H1729" s="2"/>
    </row>
  </sheetData>
  <autoFilter ref="B1:B1729" xr:uid="{829CCFD9-FE77-432B-AC38-19A91614A201}">
    <filterColumn colId="0">
      <filters>
        <filter val="Bell Bay Solar Farm"/>
      </filters>
    </filterColumn>
  </autoFilter>
  <mergeCells count="294">
    <mergeCell ref="I194:I199"/>
    <mergeCell ref="I482:I487"/>
    <mergeCell ref="I770:I775"/>
    <mergeCell ref="I1058:I1063"/>
    <mergeCell ref="I1346:I1351"/>
    <mergeCell ref="I1634:I1639"/>
    <mergeCell ref="H1694:H1699"/>
    <mergeCell ref="H1700:H1705"/>
    <mergeCell ref="H1706:H1711"/>
    <mergeCell ref="H1712:H1717"/>
    <mergeCell ref="H1718:H1723"/>
    <mergeCell ref="H1724:H1729"/>
    <mergeCell ref="H1658:H1663"/>
    <mergeCell ref="H1664:H1669"/>
    <mergeCell ref="H1670:H1675"/>
    <mergeCell ref="H1676:H1681"/>
    <mergeCell ref="H1682:H1687"/>
    <mergeCell ref="H1688:H1693"/>
    <mergeCell ref="H1622:H1627"/>
    <mergeCell ref="H1628:H1633"/>
    <mergeCell ref="H1634:H1639"/>
    <mergeCell ref="H1640:H1645"/>
    <mergeCell ref="H1646:H1651"/>
    <mergeCell ref="H1652:H1657"/>
    <mergeCell ref="H1586:H1591"/>
    <mergeCell ref="H1592:H1597"/>
    <mergeCell ref="H1598:H1603"/>
    <mergeCell ref="H1604:H1609"/>
    <mergeCell ref="H1610:H1615"/>
    <mergeCell ref="H1616:H1621"/>
    <mergeCell ref="H1550:H1555"/>
    <mergeCell ref="H1556:H1561"/>
    <mergeCell ref="H1562:H1567"/>
    <mergeCell ref="H1568:H1573"/>
    <mergeCell ref="H1574:H1579"/>
    <mergeCell ref="H1580:H1585"/>
    <mergeCell ref="H1514:H1519"/>
    <mergeCell ref="H1520:H1525"/>
    <mergeCell ref="H1526:H1531"/>
    <mergeCell ref="H1532:H1537"/>
    <mergeCell ref="H1538:H1543"/>
    <mergeCell ref="H1544:H1549"/>
    <mergeCell ref="H1478:H1483"/>
    <mergeCell ref="H1484:H1489"/>
    <mergeCell ref="H1490:H1495"/>
    <mergeCell ref="H1496:H1501"/>
    <mergeCell ref="H1502:H1507"/>
    <mergeCell ref="H1508:H1513"/>
    <mergeCell ref="H1442:H1447"/>
    <mergeCell ref="H1448:H1453"/>
    <mergeCell ref="H1454:H1459"/>
    <mergeCell ref="H1460:H1465"/>
    <mergeCell ref="H1466:H1471"/>
    <mergeCell ref="H1472:H1477"/>
    <mergeCell ref="H1406:H1411"/>
    <mergeCell ref="H1412:H1417"/>
    <mergeCell ref="H1418:H1423"/>
    <mergeCell ref="H1424:H1429"/>
    <mergeCell ref="H1430:H1435"/>
    <mergeCell ref="H1436:H1441"/>
    <mergeCell ref="H1370:H1375"/>
    <mergeCell ref="H1376:H1381"/>
    <mergeCell ref="H1382:H1387"/>
    <mergeCell ref="H1388:H1393"/>
    <mergeCell ref="H1394:H1399"/>
    <mergeCell ref="H1400:H1405"/>
    <mergeCell ref="H1334:H1339"/>
    <mergeCell ref="H1340:H1345"/>
    <mergeCell ref="H1346:H1351"/>
    <mergeCell ref="H1352:H1357"/>
    <mergeCell ref="H1358:H1363"/>
    <mergeCell ref="H1364:H1369"/>
    <mergeCell ref="H1298:H1303"/>
    <mergeCell ref="H1304:H1309"/>
    <mergeCell ref="H1310:H1315"/>
    <mergeCell ref="H1316:H1321"/>
    <mergeCell ref="H1322:H1327"/>
    <mergeCell ref="H1328:H1333"/>
    <mergeCell ref="H1262:H1267"/>
    <mergeCell ref="H1268:H1273"/>
    <mergeCell ref="H1274:H1279"/>
    <mergeCell ref="H1280:H1285"/>
    <mergeCell ref="H1286:H1291"/>
    <mergeCell ref="H1292:H1297"/>
    <mergeCell ref="H1226:H1231"/>
    <mergeCell ref="H1232:H1237"/>
    <mergeCell ref="H1238:H1243"/>
    <mergeCell ref="H1244:H1249"/>
    <mergeCell ref="H1250:H1255"/>
    <mergeCell ref="H1256:H1261"/>
    <mergeCell ref="H1190:H1195"/>
    <mergeCell ref="H1196:H1201"/>
    <mergeCell ref="H1202:H1207"/>
    <mergeCell ref="H1208:H1213"/>
    <mergeCell ref="H1214:H1219"/>
    <mergeCell ref="H1220:H1225"/>
    <mergeCell ref="H1154:H1159"/>
    <mergeCell ref="H1160:H1165"/>
    <mergeCell ref="H1166:H1171"/>
    <mergeCell ref="H1172:H1177"/>
    <mergeCell ref="H1178:H1183"/>
    <mergeCell ref="H1184:H1189"/>
    <mergeCell ref="H1118:H1123"/>
    <mergeCell ref="H1124:H1129"/>
    <mergeCell ref="H1130:H1135"/>
    <mergeCell ref="H1136:H1141"/>
    <mergeCell ref="H1142:H1147"/>
    <mergeCell ref="H1148:H1153"/>
    <mergeCell ref="H1082:H1087"/>
    <mergeCell ref="H1088:H1093"/>
    <mergeCell ref="H1094:H1099"/>
    <mergeCell ref="H1100:H1105"/>
    <mergeCell ref="H1106:H1111"/>
    <mergeCell ref="H1112:H1117"/>
    <mergeCell ref="H1046:H1051"/>
    <mergeCell ref="H1052:H1057"/>
    <mergeCell ref="H1058:H1063"/>
    <mergeCell ref="H1064:H1069"/>
    <mergeCell ref="H1070:H1075"/>
    <mergeCell ref="H1076:H1081"/>
    <mergeCell ref="H1010:H1015"/>
    <mergeCell ref="H1016:H1021"/>
    <mergeCell ref="H1022:H1027"/>
    <mergeCell ref="H1028:H1033"/>
    <mergeCell ref="H1034:H1039"/>
    <mergeCell ref="H1040:H1045"/>
    <mergeCell ref="H974:H979"/>
    <mergeCell ref="H980:H985"/>
    <mergeCell ref="H986:H991"/>
    <mergeCell ref="H992:H997"/>
    <mergeCell ref="H998:H1003"/>
    <mergeCell ref="H1004:H1009"/>
    <mergeCell ref="H938:H943"/>
    <mergeCell ref="H944:H949"/>
    <mergeCell ref="H950:H955"/>
    <mergeCell ref="H956:H961"/>
    <mergeCell ref="H962:H967"/>
    <mergeCell ref="H968:H973"/>
    <mergeCell ref="H902:H907"/>
    <mergeCell ref="H908:H913"/>
    <mergeCell ref="H914:H919"/>
    <mergeCell ref="H920:H925"/>
    <mergeCell ref="H926:H931"/>
    <mergeCell ref="H932:H937"/>
    <mergeCell ref="H866:H871"/>
    <mergeCell ref="H872:H877"/>
    <mergeCell ref="H878:H883"/>
    <mergeCell ref="H884:H889"/>
    <mergeCell ref="H890:H895"/>
    <mergeCell ref="H896:H901"/>
    <mergeCell ref="H830:H835"/>
    <mergeCell ref="H836:H841"/>
    <mergeCell ref="H842:H847"/>
    <mergeCell ref="H848:H853"/>
    <mergeCell ref="H854:H859"/>
    <mergeCell ref="H860:H865"/>
    <mergeCell ref="H794:H799"/>
    <mergeCell ref="H800:H805"/>
    <mergeCell ref="H806:H811"/>
    <mergeCell ref="H812:H817"/>
    <mergeCell ref="H818:H823"/>
    <mergeCell ref="H824:H829"/>
    <mergeCell ref="H758:H763"/>
    <mergeCell ref="H764:H769"/>
    <mergeCell ref="H770:H775"/>
    <mergeCell ref="H776:H781"/>
    <mergeCell ref="H782:H787"/>
    <mergeCell ref="H788:H793"/>
    <mergeCell ref="H722:H727"/>
    <mergeCell ref="H728:H733"/>
    <mergeCell ref="H734:H739"/>
    <mergeCell ref="H740:H745"/>
    <mergeCell ref="H746:H751"/>
    <mergeCell ref="H752:H757"/>
    <mergeCell ref="H686:H691"/>
    <mergeCell ref="H692:H697"/>
    <mergeCell ref="H698:H703"/>
    <mergeCell ref="H704:H709"/>
    <mergeCell ref="H710:H715"/>
    <mergeCell ref="H716:H721"/>
    <mergeCell ref="H650:H655"/>
    <mergeCell ref="H656:H661"/>
    <mergeCell ref="H662:H667"/>
    <mergeCell ref="H668:H673"/>
    <mergeCell ref="H674:H679"/>
    <mergeCell ref="H680:H685"/>
    <mergeCell ref="H614:H619"/>
    <mergeCell ref="H620:H625"/>
    <mergeCell ref="H626:H631"/>
    <mergeCell ref="H632:H637"/>
    <mergeCell ref="H638:H643"/>
    <mergeCell ref="H644:H649"/>
    <mergeCell ref="H578:H583"/>
    <mergeCell ref="H584:H589"/>
    <mergeCell ref="H590:H595"/>
    <mergeCell ref="H596:H601"/>
    <mergeCell ref="H602:H607"/>
    <mergeCell ref="H608:H613"/>
    <mergeCell ref="H542:H547"/>
    <mergeCell ref="H548:H553"/>
    <mergeCell ref="H554:H559"/>
    <mergeCell ref="H560:H565"/>
    <mergeCell ref="H566:H571"/>
    <mergeCell ref="H572:H577"/>
    <mergeCell ref="H506:H511"/>
    <mergeCell ref="H512:H517"/>
    <mergeCell ref="H518:H523"/>
    <mergeCell ref="H524:H529"/>
    <mergeCell ref="H530:H535"/>
    <mergeCell ref="H536:H541"/>
    <mergeCell ref="H470:H475"/>
    <mergeCell ref="H476:H481"/>
    <mergeCell ref="H482:H487"/>
    <mergeCell ref="H488:H493"/>
    <mergeCell ref="H494:H499"/>
    <mergeCell ref="H500:H505"/>
    <mergeCell ref="H434:H439"/>
    <mergeCell ref="H440:H445"/>
    <mergeCell ref="H446:H451"/>
    <mergeCell ref="H452:H457"/>
    <mergeCell ref="H458:H463"/>
    <mergeCell ref="H464:H469"/>
    <mergeCell ref="H398:H403"/>
    <mergeCell ref="H404:H409"/>
    <mergeCell ref="H410:H415"/>
    <mergeCell ref="H416:H421"/>
    <mergeCell ref="H422:H427"/>
    <mergeCell ref="H428:H433"/>
    <mergeCell ref="H362:H367"/>
    <mergeCell ref="H368:H373"/>
    <mergeCell ref="H374:H379"/>
    <mergeCell ref="H380:H385"/>
    <mergeCell ref="H386:H391"/>
    <mergeCell ref="H392:H397"/>
    <mergeCell ref="H326:H331"/>
    <mergeCell ref="H332:H337"/>
    <mergeCell ref="H338:H343"/>
    <mergeCell ref="H344:H349"/>
    <mergeCell ref="H350:H355"/>
    <mergeCell ref="H356:H361"/>
    <mergeCell ref="H290:H295"/>
    <mergeCell ref="H296:H301"/>
    <mergeCell ref="H302:H307"/>
    <mergeCell ref="H308:H313"/>
    <mergeCell ref="H314:H319"/>
    <mergeCell ref="H320:H325"/>
    <mergeCell ref="H254:H259"/>
    <mergeCell ref="H260:H265"/>
    <mergeCell ref="H266:H271"/>
    <mergeCell ref="H272:H277"/>
    <mergeCell ref="H278:H283"/>
    <mergeCell ref="H284:H289"/>
    <mergeCell ref="H218:H223"/>
    <mergeCell ref="H224:H229"/>
    <mergeCell ref="H230:H235"/>
    <mergeCell ref="H236:H241"/>
    <mergeCell ref="H242:H247"/>
    <mergeCell ref="H248:H253"/>
    <mergeCell ref="H182:H187"/>
    <mergeCell ref="H188:H193"/>
    <mergeCell ref="H194:H199"/>
    <mergeCell ref="H200:H205"/>
    <mergeCell ref="H206:H211"/>
    <mergeCell ref="H212:H217"/>
    <mergeCell ref="H146:H151"/>
    <mergeCell ref="H152:H157"/>
    <mergeCell ref="H158:H163"/>
    <mergeCell ref="H164:H169"/>
    <mergeCell ref="H170:H175"/>
    <mergeCell ref="H176:H181"/>
    <mergeCell ref="H110:H115"/>
    <mergeCell ref="H116:H121"/>
    <mergeCell ref="H122:H127"/>
    <mergeCell ref="H128:H133"/>
    <mergeCell ref="H134:H139"/>
    <mergeCell ref="H140:H145"/>
    <mergeCell ref="H74:H79"/>
    <mergeCell ref="H80:H85"/>
    <mergeCell ref="H86:H91"/>
    <mergeCell ref="H92:H97"/>
    <mergeCell ref="H98:H103"/>
    <mergeCell ref="H104:H109"/>
    <mergeCell ref="H38:H43"/>
    <mergeCell ref="H44:H49"/>
    <mergeCell ref="H50:H55"/>
    <mergeCell ref="H56:H61"/>
    <mergeCell ref="H62:H67"/>
    <mergeCell ref="H68:H73"/>
    <mergeCell ref="H2:H7"/>
    <mergeCell ref="H8:H13"/>
    <mergeCell ref="H14:H19"/>
    <mergeCell ref="H20:H25"/>
    <mergeCell ref="H26:H31"/>
    <mergeCell ref="H32:H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440D-68B0-4EE2-AFA9-B7DC173C38EC}">
  <dimension ref="A1:B36"/>
  <sheetViews>
    <sheetView tabSelected="1" workbookViewId="0">
      <selection activeCell="K30" sqref="K30"/>
    </sheetView>
  </sheetViews>
  <sheetFormatPr defaultRowHeight="15" x14ac:dyDescent="0.25"/>
  <cols>
    <col min="1" max="1" width="18.7109375" customWidth="1"/>
  </cols>
  <sheetData>
    <row r="1" spans="1:2" x14ac:dyDescent="0.25">
      <c r="A1" t="s">
        <v>55</v>
      </c>
      <c r="B1" t="s">
        <v>56</v>
      </c>
    </row>
    <row r="2" spans="1:2" x14ac:dyDescent="0.25">
      <c r="A2" s="3">
        <v>263</v>
      </c>
      <c r="B2" s="4">
        <v>2019</v>
      </c>
    </row>
    <row r="3" spans="1:2" x14ac:dyDescent="0.25">
      <c r="A3" s="3">
        <v>43</v>
      </c>
      <c r="B3" s="4">
        <v>2020</v>
      </c>
    </row>
    <row r="4" spans="1:2" x14ac:dyDescent="0.25">
      <c r="A4" s="3">
        <v>53</v>
      </c>
      <c r="B4" s="4">
        <v>2021</v>
      </c>
    </row>
    <row r="5" spans="1:2" x14ac:dyDescent="0.25">
      <c r="A5" s="3">
        <v>132</v>
      </c>
      <c r="B5" s="4">
        <v>2022</v>
      </c>
    </row>
    <row r="6" spans="1:2" x14ac:dyDescent="0.25">
      <c r="A6" s="3">
        <v>120</v>
      </c>
      <c r="B6" s="4">
        <v>2023</v>
      </c>
    </row>
    <row r="7" spans="1:2" x14ac:dyDescent="0.25">
      <c r="A7" s="3">
        <v>146</v>
      </c>
      <c r="B7" s="4">
        <v>2024</v>
      </c>
    </row>
    <row r="8" spans="1:2" x14ac:dyDescent="0.25">
      <c r="A8" s="3"/>
      <c r="B8" s="4"/>
    </row>
    <row r="9" spans="1:2" x14ac:dyDescent="0.25">
      <c r="A9" s="3"/>
      <c r="B9" s="4"/>
    </row>
    <row r="10" spans="1:2" x14ac:dyDescent="0.25">
      <c r="A10" s="3"/>
      <c r="B10" s="4"/>
    </row>
    <row r="11" spans="1:2" x14ac:dyDescent="0.25">
      <c r="A11" s="3"/>
      <c r="B11" s="4"/>
    </row>
    <row r="12" spans="1:2" x14ac:dyDescent="0.25">
      <c r="A12" s="3"/>
      <c r="B12" s="4"/>
    </row>
    <row r="14" spans="1:2" x14ac:dyDescent="0.25">
      <c r="A14" s="3"/>
      <c r="B14" s="4"/>
    </row>
    <row r="15" spans="1:2" x14ac:dyDescent="0.25">
      <c r="A15" s="3"/>
      <c r="B15" s="4"/>
    </row>
    <row r="16" spans="1:2" x14ac:dyDescent="0.25">
      <c r="A16" s="3"/>
      <c r="B16" s="4"/>
    </row>
    <row r="17" spans="1:2" x14ac:dyDescent="0.25">
      <c r="A17" s="3"/>
      <c r="B17" s="4"/>
    </row>
    <row r="18" spans="1:2" x14ac:dyDescent="0.25">
      <c r="A18" s="3"/>
      <c r="B18" s="4"/>
    </row>
    <row r="20" spans="1:2" x14ac:dyDescent="0.25">
      <c r="A20" s="3"/>
      <c r="B20" s="4"/>
    </row>
    <row r="21" spans="1:2" x14ac:dyDescent="0.25">
      <c r="A21" s="3"/>
      <c r="B21" s="4"/>
    </row>
    <row r="22" spans="1:2" x14ac:dyDescent="0.25">
      <c r="A22" s="3"/>
      <c r="B22" s="4"/>
    </row>
    <row r="23" spans="1:2" x14ac:dyDescent="0.25">
      <c r="A23" s="3"/>
      <c r="B23" s="4"/>
    </row>
    <row r="24" spans="1:2" x14ac:dyDescent="0.25">
      <c r="A24" s="3"/>
      <c r="B24" s="4"/>
    </row>
    <row r="26" spans="1:2" x14ac:dyDescent="0.25">
      <c r="A26" s="3"/>
      <c r="B26" s="4"/>
    </row>
    <row r="27" spans="1:2" x14ac:dyDescent="0.25">
      <c r="A27" s="3"/>
      <c r="B27" s="4"/>
    </row>
    <row r="28" spans="1:2" x14ac:dyDescent="0.25">
      <c r="A28" s="3"/>
      <c r="B28" s="4"/>
    </row>
    <row r="29" spans="1:2" x14ac:dyDescent="0.25">
      <c r="A29" s="3"/>
      <c r="B29" s="4"/>
    </row>
    <row r="30" spans="1:2" x14ac:dyDescent="0.25">
      <c r="A30" s="3"/>
      <c r="B30" s="4"/>
    </row>
    <row r="32" spans="1:2" x14ac:dyDescent="0.25">
      <c r="A32" s="3"/>
      <c r="B32" s="4"/>
    </row>
    <row r="33" spans="1:2" x14ac:dyDescent="0.25">
      <c r="A33" s="3"/>
      <c r="B33" s="4"/>
    </row>
    <row r="34" spans="1:2" x14ac:dyDescent="0.25">
      <c r="A34" s="3"/>
      <c r="B34" s="4"/>
    </row>
    <row r="35" spans="1:2" x14ac:dyDescent="0.25">
      <c r="A35" s="3"/>
      <c r="B35" s="4"/>
    </row>
    <row r="36" spans="1:2" x14ac:dyDescent="0.25">
      <c r="A36" s="3"/>
      <c r="B3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all_results_summary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Liu-Meaden</dc:creator>
  <cp:lastModifiedBy>Joy Liu Meaden</cp:lastModifiedBy>
  <dcterms:created xsi:type="dcterms:W3CDTF">2026-09-17T14:29:10Z</dcterms:created>
  <dcterms:modified xsi:type="dcterms:W3CDTF">2026-09-17T14:33:15Z</dcterms:modified>
</cp:coreProperties>
</file>