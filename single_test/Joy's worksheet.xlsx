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oyli\OneDrive\Desktop\FYP\single_test\"/>
    </mc:Choice>
  </mc:AlternateContent>
  <xr:revisionPtr revIDLastSave="0" documentId="13_ncr:1_{49CC4EFE-764E-4029-9216-38EAC00DDC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3" i="1" l="1"/>
  <c r="M73" i="1"/>
  <c r="N73" i="1"/>
  <c r="O73" i="1"/>
  <c r="K73" i="1"/>
  <c r="H52" i="1"/>
  <c r="H42" i="1"/>
  <c r="H33" i="1"/>
  <c r="H22" i="1"/>
  <c r="H12" i="1"/>
  <c r="H2" i="1"/>
</calcChain>
</file>

<file path=xl/sharedStrings.xml><?xml version="1.0" encoding="utf-8"?>
<sst xmlns="http://schemas.openxmlformats.org/spreadsheetml/2006/main" count="59" uniqueCount="19">
  <si>
    <t>year</t>
  </si>
  <si>
    <t>deficit_hours</t>
  </si>
  <si>
    <t>total_deficit_mwh</t>
  </si>
  <si>
    <t>plant_cost</t>
  </si>
  <si>
    <t>penalty_cost</t>
  </si>
  <si>
    <t>total_cost</t>
  </si>
  <si>
    <t>lcoe</t>
  </si>
  <si>
    <t xml:space="preserve">Min solar condition </t>
  </si>
  <si>
    <t xml:space="preserve">Min wind condition </t>
  </si>
  <si>
    <t xml:space="preserve">Min battery condition </t>
  </si>
  <si>
    <t xml:space="preserve">Max pv condition </t>
  </si>
  <si>
    <t xml:space="preserve">Max wind condition </t>
  </si>
  <si>
    <t xml:space="preserve">Max battery condition </t>
  </si>
  <si>
    <t>Min Solar</t>
  </si>
  <si>
    <t>Min Wind</t>
  </si>
  <si>
    <t>Min Battery/Max Solar</t>
  </si>
  <si>
    <t>Max Wind</t>
  </si>
  <si>
    <t>Max battery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</si>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</sst>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Amoun</a:t>
            </a:r>
            <a:r>
              <a:rPr lang="en-AU" altLang="zh-CN" baseline="0"/>
              <a:t>t of deficits across 5 different years with different arrangement focus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'V5'!$J$41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'V5'!$K$41:$O$41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0-4113-814F-9892F4C1A029}"/>
            </c:ext>
          </c:extLst>
        </c:ser>
        <c:ser>
          <c:idx val="1"/>
          <c:order val="1"/>
          <c:tx>
            <c:strRef>
              <c:f>'V5'!$J$42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'V5'!$K$42:$O$42</c:f>
              <c:numCache>
                <c:formatCode>General</c:formatCode>
                <c:ptCount val="5"/>
                <c:pt idx="0">
                  <c:v>51</c:v>
                </c:pt>
                <c:pt idx="1">
                  <c:v>45</c:v>
                </c:pt>
                <c:pt idx="2">
                  <c:v>42</c:v>
                </c:pt>
                <c:pt idx="3">
                  <c:v>47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0-4113-814F-9892F4C1A029}"/>
            </c:ext>
          </c:extLst>
        </c:ser>
        <c:ser>
          <c:idx val="2"/>
          <c:order val="2"/>
          <c:tx>
            <c:strRef>
              <c:f>'V5'!$J$43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'V5'!$K$43:$O$43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0-4113-814F-9892F4C1A029}"/>
            </c:ext>
          </c:extLst>
        </c:ser>
        <c:ser>
          <c:idx val="3"/>
          <c:order val="3"/>
          <c:tx>
            <c:strRef>
              <c:f>'V5'!$J$44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'V5'!$K$44:$O$44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0-4113-814F-9892F4C1A029}"/>
            </c:ext>
          </c:extLst>
        </c:ser>
        <c:ser>
          <c:idx val="4"/>
          <c:order val="4"/>
          <c:tx>
            <c:strRef>
              <c:f>'V5'!$J$45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'V5'!$K$45:$O$45</c:f>
              <c:numCache>
                <c:formatCode>General</c:formatCode>
                <c:ptCount val="5"/>
                <c:pt idx="0">
                  <c:v>27</c:v>
                </c:pt>
                <c:pt idx="1">
                  <c:v>23</c:v>
                </c:pt>
                <c:pt idx="2">
                  <c:v>23</c:v>
                </c:pt>
                <c:pt idx="3">
                  <c:v>25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80-4113-814F-9892F4C1A029}"/>
            </c:ext>
          </c:extLst>
        </c:ser>
        <c:ser>
          <c:idx val="5"/>
          <c:order val="5"/>
          <c:tx>
            <c:strRef>
              <c:f>'V5'!$J$46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'V5'!$K$40:$O$40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'V5'!$K$46:$O$46</c:f>
              <c:numCache>
                <c:formatCode>General</c:formatCode>
                <c:ptCount val="5"/>
                <c:pt idx="0">
                  <c:v>48</c:v>
                </c:pt>
                <c:pt idx="1">
                  <c:v>35</c:v>
                </c:pt>
                <c:pt idx="2">
                  <c:v>34</c:v>
                </c:pt>
                <c:pt idx="3">
                  <c:v>41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80-4113-814F-9892F4C1A0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3312"/>
        <c:axId val="1931600591"/>
      </c:barChart>
      <c:catAx>
        <c:axId val="5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00591"/>
        <c:crosses val="autoZero"/>
        <c:auto val="1"/>
        <c:lblAlgn val="ctr"/>
        <c:lblOffset val="100"/>
        <c:noMultiLvlLbl val="0"/>
      </c:catAx>
      <c:valAx>
        <c:axId val="19316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amount of deficits across 5 different years with different arrangement focus 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'V5'!$J$73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'V5'!$K$72:$O$72</c:f>
              <c:strCache>
                <c:ptCount val="5"/>
                <c:pt idx="0">
                  <c:v>Min Solar</c:v>
                </c:pt>
                <c:pt idx="1">
                  <c:v>Min Wind</c:v>
                </c:pt>
                <c:pt idx="2">
                  <c:v>Min Battery/Max Solar</c:v>
                </c:pt>
                <c:pt idx="3">
                  <c:v>Max Wind</c:v>
                </c:pt>
                <c:pt idx="4">
                  <c:v>Max battery</c:v>
                </c:pt>
              </c:strCache>
            </c:strRef>
          </c:cat>
          <c:val>
            <c:numRef>
              <c:f>'V5'!$K$73:$O$73</c:f>
              <c:numCache>
                <c:formatCode>General</c:formatCode>
                <c:ptCount val="5"/>
                <c:pt idx="0">
                  <c:v>172</c:v>
                </c:pt>
                <c:pt idx="1">
                  <c:v>133</c:v>
                </c:pt>
                <c:pt idx="2">
                  <c:v>132</c:v>
                </c:pt>
                <c:pt idx="3">
                  <c:v>155</c:v>
                </c:pt>
                <c:pt idx="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0-4500-BA5A-9C11D33355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702224"/>
        <c:axId val="1931595311"/>
      </c:barChart>
      <c:catAx>
        <c:axId val="837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95311"/>
        <c:crosses val="autoZero"/>
        <c:auto val="1"/>
        <c:lblAlgn val="ctr"/>
        <c:lblOffset val="100"/>
        <c:noMultiLvlLbl val="0"/>
      </c:catAx>
      <c:valAx>
        <c:axId val="1931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Number</a:t>
                </a:r>
                <a:r>
                  <a:rPr lang="en-AU" altLang="zh-CN" baseline="0"/>
                  <a:t> of deficits in 5 years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542925</xdr:colOff>
      <xdr:row>1</xdr:row>
      <xdr:rowOff>152400</xdr:rowOff>
    </xdr:from>
    <xdr:to>
      <xdr:col>13</xdr:col>
      <xdr:colOff>86138</xdr:colOff>
      <xdr:row>27</xdr:row>
      <xdr:rowOff>38775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3FE0FC2-697E-FBB1-FDFE-928552FE4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152400"/>
          <a:ext cx="2962688" cy="4839375"/>
        </a:xfrm>
        <a:prstGeom prst="rect">
          <a:avLst/>
        </a:prstGeom>
      </xdr:spPr>
    </xdr:pic>
    <xdr:clientData/>
  </xdr:twoCellAnchor>
  <xdr:twoCellAnchor>
    <xdr:from>
      <xdr:col>9</xdr:col>
      <xdr:colOff>581024</xdr:colOff>
      <xdr:row>46</xdr:row>
      <xdr:rowOff>180974</xdr:rowOff>
    </xdr:from>
    <xdr:to>
      <xdr:col>21</xdr:col>
      <xdr:colOff>104775</xdr:colOff>
      <xdr:row>68</xdr:row>
      <xdr:rowOff>76199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8743670-52BD-DDDE-70BE-D911D285C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33336</xdr:colOff>
      <xdr:row>70</xdr:row>
      <xdr:rowOff>52386</xdr:rowOff>
    </xdr:from>
    <xdr:to>
      <xdr:col>27</xdr:col>
      <xdr:colOff>114299</xdr:colOff>
      <xdr:row>89</xdr:row>
      <xdr:rowOff>171449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3C67287-37C9-330C-574E-275BC9C72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37" workbookViewId="0">
      <selection activeCell="X54" sqref="X54"/>
    </sheetView>
  </sheetViews>
  <sheetFormatPr defaultRowHeight="15" x14ac:dyDescent="0.25"/>
  <cols>
    <col min="1" max="1" width="20.85546875" bestFit="1" customWidth="1"/>
    <col min="2" max="2" width="12.7109375" bestFit="1" customWidth="1"/>
    <col min="3" max="3" width="17.5703125" bestFit="1" customWidth="1"/>
    <col min="4" max="4" width="12" bestFit="1" customWidth="1"/>
    <col min="5" max="5" width="12.28515625" bestFit="1" customWidth="1"/>
    <col min="6" max="6" width="12" bestFit="1" customWidth="1"/>
    <col min="11" max="11" width="11.5703125" bestFit="1" customWidth="1"/>
    <col min="12" max="12" width="9.5703125" bestFit="1" customWidth="1"/>
    <col min="13" max="13" width="21" bestFit="1" customWidth="1"/>
    <col min="14" max="14" width="9.85546875" bestFit="1" customWidth="1"/>
    <col min="15" max="15" width="11.5703125" bestFit="1" customWidth="1"/>
  </cols>
  <sheetData>
    <row r="1" spans="1:8" x14ac:dyDescent="0.25">
      <c r="A1" s="1" t="s">
        <v>7</v>
      </c>
      <c r="B1" s="1"/>
      <c r="C1" s="1"/>
      <c r="D1" s="1"/>
      <c r="E1" s="1"/>
      <c r="F1" s="1"/>
      <c r="G1" s="1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>
        <f>SUM(B3:B8)</f>
        <v>172</v>
      </c>
    </row>
    <row r="3" spans="1:8" x14ac:dyDescent="0.25">
      <c r="A3" s="2">
        <v>2019</v>
      </c>
      <c r="B3" s="2">
        <v>22</v>
      </c>
      <c r="C3" s="2">
        <v>879.62</v>
      </c>
      <c r="D3" s="2">
        <v>81571673.409999996</v>
      </c>
      <c r="E3" s="2">
        <v>17592422.760000002</v>
      </c>
      <c r="F3" s="2">
        <v>99164096.159999996</v>
      </c>
      <c r="G3" s="2">
        <v>319.63</v>
      </c>
    </row>
    <row r="4" spans="1:8" x14ac:dyDescent="0.25">
      <c r="A4" s="2">
        <v>2020</v>
      </c>
      <c r="B4" s="2">
        <v>51</v>
      </c>
      <c r="C4" s="2">
        <v>2630.55</v>
      </c>
      <c r="D4" s="2">
        <v>81571673.409999996</v>
      </c>
      <c r="E4" s="2">
        <v>52611073.07</v>
      </c>
      <c r="F4" s="2">
        <v>134182746.47</v>
      </c>
      <c r="G4" s="2">
        <v>432.5</v>
      </c>
    </row>
    <row r="5" spans="1:8" x14ac:dyDescent="0.25">
      <c r="A5" s="2">
        <v>2021</v>
      </c>
      <c r="B5" s="2">
        <v>6</v>
      </c>
      <c r="C5" s="2">
        <v>262.19</v>
      </c>
      <c r="D5" s="2">
        <v>81571673.409999996</v>
      </c>
      <c r="E5" s="2">
        <v>5243775.82</v>
      </c>
      <c r="F5" s="2">
        <v>86815449.230000004</v>
      </c>
      <c r="G5" s="2">
        <v>279.82</v>
      </c>
    </row>
    <row r="6" spans="1:8" x14ac:dyDescent="0.25">
      <c r="A6" s="2">
        <v>2022</v>
      </c>
      <c r="B6" s="2">
        <v>18</v>
      </c>
      <c r="C6" s="2">
        <v>900.98</v>
      </c>
      <c r="D6" s="2">
        <v>81571673.409999996</v>
      </c>
      <c r="E6" s="2">
        <v>18019600.18</v>
      </c>
      <c r="F6" s="2">
        <v>99591273.590000004</v>
      </c>
      <c r="G6" s="2">
        <v>321</v>
      </c>
    </row>
    <row r="7" spans="1:8" x14ac:dyDescent="0.25">
      <c r="A7" s="2">
        <v>2023</v>
      </c>
      <c r="B7" s="2">
        <v>27</v>
      </c>
      <c r="C7" s="2">
        <v>1698.95</v>
      </c>
      <c r="D7" s="2">
        <v>81571673.409999996</v>
      </c>
      <c r="E7" s="2">
        <v>33979013.509999998</v>
      </c>
      <c r="F7" s="2">
        <v>115550686.92</v>
      </c>
      <c r="G7" s="2">
        <v>372.44</v>
      </c>
    </row>
    <row r="8" spans="1:8" x14ac:dyDescent="0.25">
      <c r="A8" s="2">
        <v>2024</v>
      </c>
      <c r="B8" s="2">
        <v>48</v>
      </c>
      <c r="C8" s="2">
        <v>2299.21</v>
      </c>
      <c r="D8" s="2">
        <v>81571673.409999996</v>
      </c>
      <c r="E8" s="2">
        <v>45984291.560000002</v>
      </c>
      <c r="F8" s="2">
        <v>127555964.95999999</v>
      </c>
      <c r="G8" s="2">
        <v>411.14</v>
      </c>
    </row>
    <row r="11" spans="1:8" x14ac:dyDescent="0.25">
      <c r="A11" s="1" t="s">
        <v>8</v>
      </c>
      <c r="B11" s="1"/>
      <c r="C11" s="1"/>
      <c r="D11" s="1"/>
      <c r="E11" s="1"/>
      <c r="F11" s="1"/>
      <c r="G11" s="1"/>
    </row>
    <row r="12" spans="1:8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>
        <f>SUM(B13:B18)</f>
        <v>133</v>
      </c>
    </row>
    <row r="13" spans="1:8" x14ac:dyDescent="0.25">
      <c r="A13" s="2">
        <v>2019</v>
      </c>
      <c r="B13" s="2">
        <v>10</v>
      </c>
      <c r="C13" s="2">
        <v>355.44</v>
      </c>
      <c r="D13" s="2">
        <v>82685689.939999998</v>
      </c>
      <c r="E13" s="2">
        <v>7108784</v>
      </c>
      <c r="F13" s="2">
        <v>89794473.939999998</v>
      </c>
      <c r="G13" s="2">
        <v>289.43</v>
      </c>
    </row>
    <row r="14" spans="1:8" x14ac:dyDescent="0.25">
      <c r="A14" s="2">
        <v>2020</v>
      </c>
      <c r="B14" s="2">
        <v>45</v>
      </c>
      <c r="C14" s="2">
        <v>2175.98</v>
      </c>
      <c r="D14" s="2">
        <v>82685689.939999998</v>
      </c>
      <c r="E14" s="2">
        <v>43519651.640000001</v>
      </c>
      <c r="F14" s="2">
        <v>126205341.59</v>
      </c>
      <c r="G14" s="2">
        <v>406.79</v>
      </c>
    </row>
    <row r="15" spans="1:8" x14ac:dyDescent="0.25">
      <c r="A15" s="2">
        <v>2021</v>
      </c>
      <c r="B15" s="2">
        <v>5</v>
      </c>
      <c r="C15" s="2">
        <v>193.57</v>
      </c>
      <c r="D15" s="2">
        <v>82685689.939999998</v>
      </c>
      <c r="E15" s="2">
        <v>3871426.18</v>
      </c>
      <c r="F15" s="2">
        <v>86557116.120000005</v>
      </c>
      <c r="G15" s="2">
        <v>278.99</v>
      </c>
    </row>
    <row r="16" spans="1:8" x14ac:dyDescent="0.25">
      <c r="A16" s="2">
        <v>2022</v>
      </c>
      <c r="B16" s="2">
        <v>15</v>
      </c>
      <c r="C16" s="2">
        <v>758.57</v>
      </c>
      <c r="D16" s="2">
        <v>82685689.939999998</v>
      </c>
      <c r="E16" s="2">
        <v>15171370.09</v>
      </c>
      <c r="F16" s="2">
        <v>97857060.030000001</v>
      </c>
      <c r="G16" s="2">
        <v>315.41000000000003</v>
      </c>
    </row>
    <row r="17" spans="1:8" x14ac:dyDescent="0.25">
      <c r="A17" s="2">
        <v>2023</v>
      </c>
      <c r="B17" s="2">
        <v>23</v>
      </c>
      <c r="C17" s="2">
        <v>1478.41</v>
      </c>
      <c r="D17" s="2">
        <v>82685689.939999998</v>
      </c>
      <c r="E17" s="2">
        <v>29568102.93</v>
      </c>
      <c r="F17" s="2">
        <v>112253792.87</v>
      </c>
      <c r="G17" s="2">
        <v>361.82</v>
      </c>
    </row>
    <row r="18" spans="1:8" x14ac:dyDescent="0.25">
      <c r="A18" s="2">
        <v>2024</v>
      </c>
      <c r="B18" s="2">
        <v>35</v>
      </c>
      <c r="C18" s="2">
        <v>1592.89</v>
      </c>
      <c r="D18" s="2">
        <v>82685689.939999998</v>
      </c>
      <c r="E18" s="2">
        <v>31857835.109999999</v>
      </c>
      <c r="F18" s="2">
        <v>114543525.05</v>
      </c>
      <c r="G18" s="2">
        <v>369.2</v>
      </c>
    </row>
    <row r="21" spans="1:8" x14ac:dyDescent="0.25">
      <c r="A21" s="1" t="s">
        <v>9</v>
      </c>
      <c r="B21" s="1"/>
      <c r="C21" s="1"/>
      <c r="D21" s="1"/>
      <c r="E21" s="1"/>
      <c r="F21" s="1"/>
      <c r="G21" s="1"/>
    </row>
    <row r="22" spans="1:8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>
        <f>SUM(B23:B28)</f>
        <v>132</v>
      </c>
    </row>
    <row r="23" spans="1:8" x14ac:dyDescent="0.25">
      <c r="A23" s="2">
        <v>2019</v>
      </c>
      <c r="B23" s="2">
        <v>10</v>
      </c>
      <c r="C23" s="2">
        <v>401.21</v>
      </c>
      <c r="D23" s="2">
        <v>81996752.200000003</v>
      </c>
      <c r="E23" s="2">
        <v>8024208.5300000003</v>
      </c>
      <c r="F23" s="2">
        <v>90020960.730000004</v>
      </c>
      <c r="G23" s="2">
        <v>290.16000000000003</v>
      </c>
    </row>
    <row r="24" spans="1:8" x14ac:dyDescent="0.25">
      <c r="A24" s="2">
        <v>2020</v>
      </c>
      <c r="B24" s="2">
        <v>42</v>
      </c>
      <c r="C24" s="2">
        <v>2107.21</v>
      </c>
      <c r="D24" s="2">
        <v>81996752.200000003</v>
      </c>
      <c r="E24" s="2">
        <v>42144268</v>
      </c>
      <c r="F24" s="2">
        <v>124141020.2</v>
      </c>
      <c r="G24" s="2">
        <v>400.13</v>
      </c>
    </row>
    <row r="25" spans="1:8" x14ac:dyDescent="0.25">
      <c r="A25" s="2">
        <v>2021</v>
      </c>
      <c r="B25" s="2">
        <v>6</v>
      </c>
      <c r="C25" s="2">
        <v>231.62</v>
      </c>
      <c r="D25" s="2">
        <v>81996752.200000003</v>
      </c>
      <c r="E25" s="2">
        <v>4632379.82</v>
      </c>
      <c r="F25" s="2">
        <v>86629132.019999996</v>
      </c>
      <c r="G25" s="2">
        <v>279.22000000000003</v>
      </c>
    </row>
    <row r="26" spans="1:8" x14ac:dyDescent="0.25">
      <c r="A26" s="2">
        <v>2022</v>
      </c>
      <c r="B26" s="2">
        <v>17</v>
      </c>
      <c r="C26" s="2">
        <v>874.01</v>
      </c>
      <c r="D26" s="2">
        <v>81996752.200000003</v>
      </c>
      <c r="E26" s="2">
        <v>17480242.710000001</v>
      </c>
      <c r="F26" s="2">
        <v>99476994.909999996</v>
      </c>
      <c r="G26" s="2">
        <v>320.63</v>
      </c>
    </row>
    <row r="27" spans="1:8" x14ac:dyDescent="0.25">
      <c r="A27" s="2">
        <v>2023</v>
      </c>
      <c r="B27" s="2">
        <v>23</v>
      </c>
      <c r="C27" s="2">
        <v>1521.52</v>
      </c>
      <c r="D27" s="2">
        <v>81996752.200000003</v>
      </c>
      <c r="E27" s="2">
        <v>30430443.329999998</v>
      </c>
      <c r="F27" s="2">
        <v>112427195.53</v>
      </c>
      <c r="G27" s="2">
        <v>362.38</v>
      </c>
    </row>
    <row r="28" spans="1:8" x14ac:dyDescent="0.25">
      <c r="A28" s="2">
        <v>2024</v>
      </c>
      <c r="B28" s="2">
        <v>34</v>
      </c>
      <c r="C28" s="2">
        <v>1499.24</v>
      </c>
      <c r="D28" s="2">
        <v>81996752.200000003</v>
      </c>
      <c r="E28" s="2">
        <v>29984840.530000001</v>
      </c>
      <c r="F28" s="2">
        <v>111981592.73</v>
      </c>
      <c r="G28" s="2">
        <v>360.94</v>
      </c>
    </row>
    <row r="32" spans="1:8" x14ac:dyDescent="0.25">
      <c r="A32" s="1" t="s">
        <v>10</v>
      </c>
      <c r="B32" s="1"/>
      <c r="C32" s="1"/>
      <c r="D32" s="1"/>
      <c r="E32" s="1"/>
      <c r="F32" s="1"/>
      <c r="G32" s="1"/>
    </row>
    <row r="33" spans="1:15" x14ac:dyDescent="0.25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>
        <f>SUM(B34:B39)</f>
        <v>132</v>
      </c>
    </row>
    <row r="34" spans="1:15" x14ac:dyDescent="0.25">
      <c r="A34" s="2">
        <v>2019</v>
      </c>
      <c r="B34" s="2">
        <v>10</v>
      </c>
      <c r="C34" s="2">
        <v>401.21</v>
      </c>
      <c r="D34" s="2">
        <v>81996752.200000003</v>
      </c>
      <c r="E34" s="2">
        <v>8024208.5300000003</v>
      </c>
      <c r="F34" s="2">
        <v>90020960.730000004</v>
      </c>
      <c r="G34" s="2">
        <v>290.16000000000003</v>
      </c>
    </row>
    <row r="35" spans="1:15" x14ac:dyDescent="0.25">
      <c r="A35" s="2">
        <v>2020</v>
      </c>
      <c r="B35" s="2">
        <v>42</v>
      </c>
      <c r="C35" s="2">
        <v>2107.21</v>
      </c>
      <c r="D35" s="2">
        <v>81996752.200000003</v>
      </c>
      <c r="E35" s="2">
        <v>42144268</v>
      </c>
      <c r="F35" s="2">
        <v>124141020.2</v>
      </c>
      <c r="G35" s="2">
        <v>400.13</v>
      </c>
    </row>
    <row r="36" spans="1:15" x14ac:dyDescent="0.25">
      <c r="A36" s="2">
        <v>2021</v>
      </c>
      <c r="B36" s="2">
        <v>6</v>
      </c>
      <c r="C36" s="2">
        <v>231.62</v>
      </c>
      <c r="D36" s="2">
        <v>81996752.200000003</v>
      </c>
      <c r="E36" s="2">
        <v>4632379.82</v>
      </c>
      <c r="F36" s="2">
        <v>86629132.019999996</v>
      </c>
      <c r="G36" s="2">
        <v>279.22000000000003</v>
      </c>
    </row>
    <row r="37" spans="1:15" x14ac:dyDescent="0.25">
      <c r="A37" s="2">
        <v>2022</v>
      </c>
      <c r="B37" s="2">
        <v>17</v>
      </c>
      <c r="C37" s="2">
        <v>874.01</v>
      </c>
      <c r="D37" s="2">
        <v>81996752.200000003</v>
      </c>
      <c r="E37" s="2">
        <v>17480242.710000001</v>
      </c>
      <c r="F37" s="2">
        <v>99476994.909999996</v>
      </c>
      <c r="G37" s="2">
        <v>320.63</v>
      </c>
    </row>
    <row r="38" spans="1:15" x14ac:dyDescent="0.25">
      <c r="A38" s="2">
        <v>2023</v>
      </c>
      <c r="B38" s="2">
        <v>23</v>
      </c>
      <c r="C38" s="2">
        <v>1521.52</v>
      </c>
      <c r="D38" s="2">
        <v>81996752.200000003</v>
      </c>
      <c r="E38" s="2">
        <v>30430443.329999998</v>
      </c>
      <c r="F38" s="2">
        <v>112427195.53</v>
      </c>
      <c r="G38" s="2">
        <v>362.38</v>
      </c>
    </row>
    <row r="39" spans="1:15" x14ac:dyDescent="0.25">
      <c r="A39" s="2">
        <v>2024</v>
      </c>
      <c r="B39" s="2">
        <v>34</v>
      </c>
      <c r="C39" s="2">
        <v>1499.24</v>
      </c>
      <c r="D39" s="2">
        <v>81996752.200000003</v>
      </c>
      <c r="E39" s="2">
        <v>29984840.530000001</v>
      </c>
      <c r="F39" s="2">
        <v>111981592.73</v>
      </c>
      <c r="G39" s="2">
        <v>360.94</v>
      </c>
    </row>
    <row r="40" spans="1:15" x14ac:dyDescent="0.25">
      <c r="K40" t="s">
        <v>13</v>
      </c>
      <c r="L40" t="s">
        <v>14</v>
      </c>
      <c r="M40" t="s">
        <v>15</v>
      </c>
      <c r="N40" t="s">
        <v>16</v>
      </c>
      <c r="O40" t="s">
        <v>17</v>
      </c>
    </row>
    <row r="41" spans="1:15" x14ac:dyDescent="0.25">
      <c r="A41" s="1" t="s">
        <v>11</v>
      </c>
      <c r="B41" s="1"/>
      <c r="C41" s="1"/>
      <c r="D41" s="1"/>
      <c r="E41" s="1"/>
      <c r="F41" s="1"/>
      <c r="G41" s="1"/>
      <c r="J41">
        <v>2019</v>
      </c>
      <c r="K41" s="2">
        <v>22</v>
      </c>
      <c r="L41" s="2">
        <v>10</v>
      </c>
      <c r="M41" s="2">
        <v>10</v>
      </c>
      <c r="N41" s="2">
        <v>15</v>
      </c>
      <c r="O41" s="2">
        <v>20</v>
      </c>
    </row>
    <row r="42" spans="1:15" x14ac:dyDescent="0.2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>
        <f>SUM(B43:B48)</f>
        <v>155</v>
      </c>
      <c r="J42">
        <v>2020</v>
      </c>
      <c r="K42" s="2">
        <v>51</v>
      </c>
      <c r="L42" s="2">
        <v>45</v>
      </c>
      <c r="M42" s="2">
        <v>42</v>
      </c>
      <c r="N42" s="2">
        <v>47</v>
      </c>
      <c r="O42" s="2">
        <v>50</v>
      </c>
    </row>
    <row r="43" spans="1:15" x14ac:dyDescent="0.25">
      <c r="A43" s="2">
        <v>2019</v>
      </c>
      <c r="B43" s="2">
        <v>15</v>
      </c>
      <c r="C43" s="2">
        <v>542.97</v>
      </c>
      <c r="D43" s="2">
        <v>80685760.739999995</v>
      </c>
      <c r="E43" s="2">
        <v>10859366.76</v>
      </c>
      <c r="F43" s="2">
        <v>91545127.5</v>
      </c>
      <c r="G43" s="2">
        <v>295.07</v>
      </c>
      <c r="J43">
        <v>2021</v>
      </c>
      <c r="K43" s="2">
        <v>6</v>
      </c>
      <c r="L43" s="2">
        <v>5</v>
      </c>
      <c r="M43" s="2">
        <v>6</v>
      </c>
      <c r="N43" s="2">
        <v>6</v>
      </c>
      <c r="O43" s="2">
        <v>5</v>
      </c>
    </row>
    <row r="44" spans="1:15" x14ac:dyDescent="0.25">
      <c r="A44" s="2">
        <v>2020</v>
      </c>
      <c r="B44" s="2">
        <v>47</v>
      </c>
      <c r="C44" s="2">
        <v>2409.75</v>
      </c>
      <c r="D44" s="2">
        <v>80685760.739999995</v>
      </c>
      <c r="E44" s="2">
        <v>48194958.890000001</v>
      </c>
      <c r="F44" s="2">
        <v>128880719.63</v>
      </c>
      <c r="G44" s="2">
        <v>415.41</v>
      </c>
      <c r="J44">
        <v>2022</v>
      </c>
      <c r="K44" s="2">
        <v>18</v>
      </c>
      <c r="L44" s="2">
        <v>15</v>
      </c>
      <c r="M44" s="2">
        <v>17</v>
      </c>
      <c r="N44" s="2">
        <v>21</v>
      </c>
      <c r="O44" s="2">
        <v>16</v>
      </c>
    </row>
    <row r="45" spans="1:15" x14ac:dyDescent="0.25">
      <c r="A45" s="2">
        <v>2021</v>
      </c>
      <c r="B45" s="2">
        <v>6</v>
      </c>
      <c r="C45" s="2">
        <v>303.61</v>
      </c>
      <c r="D45" s="2">
        <v>80685760.739999995</v>
      </c>
      <c r="E45" s="2">
        <v>6072166.8899999997</v>
      </c>
      <c r="F45" s="2">
        <v>86757927.629999995</v>
      </c>
      <c r="G45" s="2">
        <v>279.64</v>
      </c>
      <c r="J45">
        <v>2023</v>
      </c>
      <c r="K45" s="2">
        <v>27</v>
      </c>
      <c r="L45" s="2">
        <v>23</v>
      </c>
      <c r="M45" s="2">
        <v>23</v>
      </c>
      <c r="N45" s="2">
        <v>25</v>
      </c>
      <c r="O45" s="2">
        <v>26</v>
      </c>
    </row>
    <row r="46" spans="1:15" x14ac:dyDescent="0.25">
      <c r="A46" s="2">
        <v>2022</v>
      </c>
      <c r="B46" s="2">
        <v>21</v>
      </c>
      <c r="C46" s="2">
        <v>1004.58</v>
      </c>
      <c r="D46" s="2">
        <v>80685760.739999995</v>
      </c>
      <c r="E46" s="2">
        <v>20091663.82</v>
      </c>
      <c r="F46" s="2">
        <v>100777424.56</v>
      </c>
      <c r="G46" s="2">
        <v>324.83</v>
      </c>
      <c r="J46">
        <v>2024</v>
      </c>
      <c r="K46" s="2">
        <v>48</v>
      </c>
      <c r="L46" s="2">
        <v>35</v>
      </c>
      <c r="M46" s="2">
        <v>34</v>
      </c>
      <c r="N46" s="2">
        <v>41</v>
      </c>
      <c r="O46" s="2">
        <v>48</v>
      </c>
    </row>
    <row r="47" spans="1:15" x14ac:dyDescent="0.25">
      <c r="A47" s="2">
        <v>2023</v>
      </c>
      <c r="B47" s="2">
        <v>25</v>
      </c>
      <c r="C47" s="2">
        <v>1633.86</v>
      </c>
      <c r="D47" s="2">
        <v>80685760.739999995</v>
      </c>
      <c r="E47" s="2">
        <v>32677231.469999999</v>
      </c>
      <c r="F47" s="2">
        <v>113362992.20999999</v>
      </c>
      <c r="G47" s="2">
        <v>365.39</v>
      </c>
    </row>
    <row r="48" spans="1:15" x14ac:dyDescent="0.25">
      <c r="A48" s="2">
        <v>2024</v>
      </c>
      <c r="B48" s="2">
        <v>41</v>
      </c>
      <c r="C48" s="2">
        <v>1942.86</v>
      </c>
      <c r="D48" s="2">
        <v>80685760.739999995</v>
      </c>
      <c r="E48" s="2">
        <v>38857217.159999996</v>
      </c>
      <c r="F48" s="2">
        <v>119542977.90000001</v>
      </c>
      <c r="G48" s="2">
        <v>385.31</v>
      </c>
    </row>
    <row r="51" spans="1:8" x14ac:dyDescent="0.25">
      <c r="A51" s="1" t="s">
        <v>12</v>
      </c>
      <c r="B51" s="1"/>
      <c r="C51" s="1"/>
      <c r="D51" s="1"/>
      <c r="E51" s="1"/>
      <c r="F51" s="1"/>
      <c r="G51" s="1"/>
    </row>
    <row r="52" spans="1:8" x14ac:dyDescent="0.25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>
        <f>SUM(B53:B58)</f>
        <v>165</v>
      </c>
    </row>
    <row r="53" spans="1:8" x14ac:dyDescent="0.25">
      <c r="A53" s="2">
        <v>2019</v>
      </c>
      <c r="B53" s="2">
        <v>20</v>
      </c>
      <c r="C53" s="2">
        <v>813.91</v>
      </c>
      <c r="D53" s="2">
        <v>82143323.209999993</v>
      </c>
      <c r="E53" s="2">
        <v>16278164.130000001</v>
      </c>
      <c r="F53" s="2">
        <v>98421487.340000004</v>
      </c>
      <c r="G53" s="2">
        <v>317.23</v>
      </c>
    </row>
    <row r="54" spans="1:8" x14ac:dyDescent="0.25">
      <c r="A54" s="2">
        <v>2020</v>
      </c>
      <c r="B54" s="2">
        <v>50</v>
      </c>
      <c r="C54" s="2">
        <v>2559.9299999999998</v>
      </c>
      <c r="D54" s="2">
        <v>82143323.209999993</v>
      </c>
      <c r="E54" s="2">
        <v>51198628.979999997</v>
      </c>
      <c r="F54" s="2">
        <v>133341952.19</v>
      </c>
      <c r="G54" s="2">
        <v>429.79</v>
      </c>
    </row>
    <row r="55" spans="1:8" x14ac:dyDescent="0.25">
      <c r="A55" s="2">
        <v>2021</v>
      </c>
      <c r="B55" s="2">
        <v>5</v>
      </c>
      <c r="C55" s="2">
        <v>236.06</v>
      </c>
      <c r="D55" s="2">
        <v>82143323.209999993</v>
      </c>
      <c r="E55" s="2">
        <v>4721228.4000000004</v>
      </c>
      <c r="F55" s="2">
        <v>86864551.609999999</v>
      </c>
      <c r="G55" s="2">
        <v>279.98</v>
      </c>
    </row>
    <row r="56" spans="1:8" x14ac:dyDescent="0.25">
      <c r="A56" s="2">
        <v>2022</v>
      </c>
      <c r="B56" s="2">
        <v>16</v>
      </c>
      <c r="C56" s="2">
        <v>855</v>
      </c>
      <c r="D56" s="2">
        <v>82143323.209999993</v>
      </c>
      <c r="E56" s="2">
        <v>17099913.600000001</v>
      </c>
      <c r="F56" s="2">
        <v>99243236.810000002</v>
      </c>
      <c r="G56" s="2">
        <v>319.88</v>
      </c>
    </row>
    <row r="57" spans="1:8" x14ac:dyDescent="0.25">
      <c r="A57" s="2">
        <v>2023</v>
      </c>
      <c r="B57" s="2">
        <v>26</v>
      </c>
      <c r="C57" s="2">
        <v>1652.02</v>
      </c>
      <c r="D57" s="2">
        <v>82143323.209999993</v>
      </c>
      <c r="E57" s="2">
        <v>33040446.27</v>
      </c>
      <c r="F57" s="2">
        <v>115183769.48</v>
      </c>
      <c r="G57" s="2">
        <v>371.26</v>
      </c>
    </row>
    <row r="58" spans="1:8" x14ac:dyDescent="0.25">
      <c r="A58" s="2">
        <v>2024</v>
      </c>
      <c r="B58" s="2">
        <v>48</v>
      </c>
      <c r="C58" s="2">
        <v>2215.5</v>
      </c>
      <c r="D58" s="2">
        <v>82143323.209999993</v>
      </c>
      <c r="E58" s="2">
        <v>44310040.310000002</v>
      </c>
      <c r="F58" s="2">
        <v>126453363.52</v>
      </c>
      <c r="G58" s="2">
        <v>407.59</v>
      </c>
    </row>
    <row r="72" spans="10:15" x14ac:dyDescent="0.25">
      <c r="K72" t="s">
        <v>13</v>
      </c>
      <c r="L72" t="s">
        <v>14</v>
      </c>
      <c r="M72" t="s">
        <v>15</v>
      </c>
      <c r="N72" t="s">
        <v>16</v>
      </c>
      <c r="O72" t="s">
        <v>17</v>
      </c>
    </row>
    <row r="73" spans="10:15" x14ac:dyDescent="0.25">
      <c r="J73" t="s">
        <v>18</v>
      </c>
      <c r="K73" s="2">
        <f>SUM(K41:K46)</f>
        <v>172</v>
      </c>
      <c r="L73" s="2">
        <f t="shared" ref="L73:O73" si="0">SUM(L41:L46)</f>
        <v>133</v>
      </c>
      <c r="M73" s="2">
        <f t="shared" si="0"/>
        <v>132</v>
      </c>
      <c r="N73" s="2">
        <f t="shared" si="0"/>
        <v>155</v>
      </c>
      <c r="O73" s="2">
        <f t="shared" si="0"/>
        <v>165</v>
      </c>
    </row>
  </sheetData>
  <mergeCells count="6">
    <mergeCell ref="A1:G1"/>
    <mergeCell ref="A11:G11"/>
    <mergeCell ref="A21:G21"/>
    <mergeCell ref="A32:G32"/>
    <mergeCell ref="A41:G41"/>
    <mergeCell ref="A51:G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Liu-Meaden</dc:creator>
  <cp:lastModifiedBy>Joy Liu Meaden</cp:lastModifiedBy>
  <dcterms:created xsi:type="dcterms:W3CDTF">2015-06-05T18:17:20Z</dcterms:created>
  <dcterms:modified xsi:type="dcterms:W3CDTF">2026-10-04T14:06:02Z</dcterms:modified>
</cp:coreProperties>
</file>