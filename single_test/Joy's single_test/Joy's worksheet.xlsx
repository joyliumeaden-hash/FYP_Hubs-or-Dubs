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oyli\OneDrive\Desktop\FYP\single_test\"/>
    </mc:Choice>
  </mc:AlternateContent>
  <xr:revisionPtr revIDLastSave="0" documentId="13_ncr:1_{B93FFFE3-A09D-43DA-BA58-9E4E02190898}" xr6:coauthVersionLast="47" xr6:coauthVersionMax="47" xr10:uidLastSave="{00000000-0000-0000-0000-000000000000}"/>
  <bookViews>
    <workbookView xWindow="13110" yWindow="1440" windowWidth="22875" windowHeight="18300" activeTab="10" xr2:uid="{00000000-000D-0000-FFFF-FFFF00000000}"/>
  </bookViews>
  <sheets>
    <sheet name="Sheet3" sheetId="12" r:id="rId1"/>
    <sheet name="v2" sheetId="8" r:id="rId2"/>
    <sheet name="V5" sheetId="1" r:id="rId3"/>
    <sheet name="V7" sheetId="9" r:id="rId4"/>
    <sheet name="Q3" sheetId="2" r:id="rId5"/>
    <sheet name="Q10" sheetId="6" r:id="rId6"/>
    <sheet name="Q9" sheetId="7" r:id="rId7"/>
    <sheet name="S3" sheetId="4" r:id="rId8"/>
    <sheet name="S5" sheetId="10" r:id="rId9"/>
    <sheet name="S6" sheetId="11" r:id="rId10"/>
    <sheet name="T2" sheetId="3" r:id="rId11"/>
    <sheet name="T3" sheetId="13" r:id="rId12"/>
    <sheet name="T1" sheetId="14" r:id="rId13"/>
    <sheet name="N1" sheetId="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4" l="1"/>
  <c r="P45" i="14"/>
  <c r="O45" i="14"/>
  <c r="N45" i="14"/>
  <c r="M45" i="14"/>
  <c r="L45" i="14"/>
  <c r="K45" i="14"/>
  <c r="P44" i="14"/>
  <c r="O44" i="14"/>
  <c r="N44" i="14"/>
  <c r="M44" i="14"/>
  <c r="L44" i="14"/>
  <c r="K44" i="14"/>
  <c r="P43" i="14"/>
  <c r="O43" i="14"/>
  <c r="N43" i="14"/>
  <c r="M43" i="14"/>
  <c r="L43" i="14"/>
  <c r="K43" i="14"/>
  <c r="P42" i="14"/>
  <c r="O42" i="14"/>
  <c r="N42" i="14"/>
  <c r="M42" i="14"/>
  <c r="L42" i="14"/>
  <c r="K42" i="14"/>
  <c r="P41" i="14"/>
  <c r="O41" i="14"/>
  <c r="N41" i="14"/>
  <c r="M41" i="14"/>
  <c r="L41" i="14"/>
  <c r="K41" i="14"/>
  <c r="H41" i="14"/>
  <c r="P40" i="14"/>
  <c r="O40" i="14"/>
  <c r="N40" i="14"/>
  <c r="M40" i="14"/>
  <c r="L40" i="14"/>
  <c r="K40" i="14"/>
  <c r="H32" i="14"/>
  <c r="H21" i="14"/>
  <c r="H11" i="14"/>
  <c r="H2" i="14"/>
  <c r="H2" i="13"/>
  <c r="N72" i="13"/>
  <c r="H51" i="13"/>
  <c r="N45" i="13"/>
  <c r="M45" i="13"/>
  <c r="L45" i="13"/>
  <c r="K45" i="13"/>
  <c r="N44" i="13"/>
  <c r="M44" i="13"/>
  <c r="L44" i="13"/>
  <c r="K44" i="13"/>
  <c r="N43" i="13"/>
  <c r="M43" i="13"/>
  <c r="L43" i="13"/>
  <c r="K43" i="13"/>
  <c r="N42" i="13"/>
  <c r="M42" i="13"/>
  <c r="L42" i="13"/>
  <c r="K42" i="13"/>
  <c r="N41" i="13"/>
  <c r="M41" i="13"/>
  <c r="L41" i="13"/>
  <c r="K41" i="13"/>
  <c r="H41" i="13"/>
  <c r="N40" i="13"/>
  <c r="M40" i="13"/>
  <c r="L40" i="13"/>
  <c r="K40" i="13"/>
  <c r="H32" i="13"/>
  <c r="H21" i="13"/>
  <c r="H11" i="13"/>
  <c r="N41" i="3" a="1"/>
  <c r="N41" i="3" s="1"/>
  <c r="N73" i="3" s="1"/>
  <c r="O73" i="4"/>
  <c r="O42" i="4"/>
  <c r="O43" i="4"/>
  <c r="O44" i="4"/>
  <c r="O45" i="4"/>
  <c r="O46" i="4"/>
  <c r="O41" i="4"/>
  <c r="H2" i="9"/>
  <c r="H2" i="10"/>
  <c r="H11" i="11"/>
  <c r="H2" i="11"/>
  <c r="H51" i="11"/>
  <c r="P45" i="11"/>
  <c r="O45" i="11"/>
  <c r="N45" i="11"/>
  <c r="M45" i="11"/>
  <c r="L45" i="11"/>
  <c r="K45" i="11"/>
  <c r="P44" i="11"/>
  <c r="O44" i="11"/>
  <c r="N44" i="11"/>
  <c r="M44" i="11"/>
  <c r="L44" i="11"/>
  <c r="K44" i="11"/>
  <c r="P43" i="11"/>
  <c r="O43" i="11"/>
  <c r="N43" i="11"/>
  <c r="M43" i="11"/>
  <c r="L43" i="11"/>
  <c r="K43" i="11"/>
  <c r="P42" i="11"/>
  <c r="O42" i="11"/>
  <c r="N42" i="11"/>
  <c r="M42" i="11"/>
  <c r="L42" i="11"/>
  <c r="K42" i="11"/>
  <c r="P41" i="11"/>
  <c r="O41" i="11"/>
  <c r="N41" i="11"/>
  <c r="M41" i="11"/>
  <c r="L41" i="11"/>
  <c r="K41" i="11"/>
  <c r="H41" i="11"/>
  <c r="P40" i="11"/>
  <c r="O40" i="11"/>
  <c r="N40" i="11"/>
  <c r="M40" i="11"/>
  <c r="L40" i="11"/>
  <c r="L72" i="11" s="1"/>
  <c r="K40" i="11"/>
  <c r="H32" i="11"/>
  <c r="H21" i="11"/>
  <c r="N72" i="10"/>
  <c r="H51" i="10"/>
  <c r="N45" i="10"/>
  <c r="M45" i="10"/>
  <c r="L45" i="10"/>
  <c r="K45" i="10"/>
  <c r="N44" i="10"/>
  <c r="M44" i="10"/>
  <c r="L44" i="10"/>
  <c r="K44" i="10"/>
  <c r="N43" i="10"/>
  <c r="M43" i="10"/>
  <c r="L43" i="10"/>
  <c r="K43" i="10"/>
  <c r="N42" i="10"/>
  <c r="M42" i="10"/>
  <c r="L42" i="10"/>
  <c r="K42" i="10"/>
  <c r="N41" i="10"/>
  <c r="M41" i="10"/>
  <c r="L41" i="10"/>
  <c r="K41" i="10"/>
  <c r="H41" i="10"/>
  <c r="P72" i="10"/>
  <c r="N40" i="10"/>
  <c r="O72" i="10" s="1"/>
  <c r="M40" i="10"/>
  <c r="M72" i="10" s="1"/>
  <c r="L40" i="10"/>
  <c r="K40" i="10"/>
  <c r="H32" i="10"/>
  <c r="H21" i="10"/>
  <c r="H11" i="10"/>
  <c r="K72" i="9"/>
  <c r="L72" i="9"/>
  <c r="M72" i="9"/>
  <c r="M40" i="9"/>
  <c r="H51" i="9"/>
  <c r="M45" i="9"/>
  <c r="L45" i="9"/>
  <c r="K45" i="9"/>
  <c r="M44" i="9"/>
  <c r="L44" i="9"/>
  <c r="K44" i="9"/>
  <c r="M43" i="9"/>
  <c r="L43" i="9"/>
  <c r="K43" i="9"/>
  <c r="M42" i="9"/>
  <c r="L42" i="9"/>
  <c r="K42" i="9"/>
  <c r="M41" i="9"/>
  <c r="L41" i="9"/>
  <c r="K41" i="9"/>
  <c r="H41" i="9"/>
  <c r="N72" i="9"/>
  <c r="L40" i="9"/>
  <c r="K40" i="9"/>
  <c r="H32" i="9"/>
  <c r="H21" i="9"/>
  <c r="H11" i="9"/>
  <c r="K41" i="8"/>
  <c r="K42" i="8"/>
  <c r="K43" i="8"/>
  <c r="K44" i="8"/>
  <c r="K45" i="8"/>
  <c r="K40" i="8"/>
  <c r="K72" i="8" s="1"/>
  <c r="O72" i="8"/>
  <c r="P72" i="8"/>
  <c r="O41" i="8"/>
  <c r="O42" i="8"/>
  <c r="O43" i="8"/>
  <c r="O44" i="8"/>
  <c r="O45" i="8"/>
  <c r="O40" i="8"/>
  <c r="N41" i="8"/>
  <c r="N42" i="8"/>
  <c r="N43" i="8"/>
  <c r="N44" i="8"/>
  <c r="N45" i="8"/>
  <c r="N40" i="8"/>
  <c r="N72" i="8" s="1"/>
  <c r="H51" i="8"/>
  <c r="P45" i="8"/>
  <c r="M45" i="8"/>
  <c r="L45" i="8"/>
  <c r="P44" i="8"/>
  <c r="M44" i="8"/>
  <c r="L44" i="8"/>
  <c r="P43" i="8"/>
  <c r="M43" i="8"/>
  <c r="L43" i="8"/>
  <c r="P42" i="8"/>
  <c r="M42" i="8"/>
  <c r="M72" i="8" s="1"/>
  <c r="L42" i="8"/>
  <c r="P41" i="8"/>
  <c r="M41" i="8"/>
  <c r="L41" i="8"/>
  <c r="H41" i="8"/>
  <c r="P40" i="8"/>
  <c r="M40" i="8"/>
  <c r="L40" i="8"/>
  <c r="L72" i="8" s="1"/>
  <c r="H32" i="8"/>
  <c r="H21" i="8"/>
  <c r="H11" i="8"/>
  <c r="H2" i="8"/>
  <c r="L73" i="7"/>
  <c r="M73" i="7"/>
  <c r="N73" i="7"/>
  <c r="O73" i="7"/>
  <c r="K73" i="7"/>
  <c r="L42" i="7"/>
  <c r="L43" i="7"/>
  <c r="L44" i="7"/>
  <c r="L45" i="7"/>
  <c r="L46" i="7"/>
  <c r="L41" i="7"/>
  <c r="M42" i="7"/>
  <c r="M43" i="7"/>
  <c r="M44" i="7"/>
  <c r="M45" i="7"/>
  <c r="M46" i="7"/>
  <c r="M41" i="7"/>
  <c r="N42" i="7"/>
  <c r="N43" i="7"/>
  <c r="N44" i="7"/>
  <c r="N45" i="7"/>
  <c r="N46" i="7"/>
  <c r="N41" i="7"/>
  <c r="O42" i="7"/>
  <c r="O43" i="7"/>
  <c r="O44" i="7"/>
  <c r="O45" i="7"/>
  <c r="O46" i="7"/>
  <c r="O41" i="7"/>
  <c r="H52" i="7"/>
  <c r="K46" i="7"/>
  <c r="K45" i="7"/>
  <c r="K44" i="7"/>
  <c r="K43" i="7"/>
  <c r="K42" i="7"/>
  <c r="H42" i="7"/>
  <c r="K41" i="7"/>
  <c r="H33" i="7"/>
  <c r="H22" i="7"/>
  <c r="H12" i="7"/>
  <c r="H2" i="7"/>
  <c r="N42" i="6"/>
  <c r="N43" i="6"/>
  <c r="N44" i="6"/>
  <c r="N45" i="6"/>
  <c r="N46" i="6"/>
  <c r="N41" i="6"/>
  <c r="M42" i="6"/>
  <c r="M43" i="6"/>
  <c r="M44" i="6"/>
  <c r="M45" i="6"/>
  <c r="M73" i="6" s="1"/>
  <c r="M46" i="6"/>
  <c r="M41" i="6"/>
  <c r="H52" i="6"/>
  <c r="L46" i="6"/>
  <c r="K46" i="6"/>
  <c r="L45" i="6"/>
  <c r="K45" i="6"/>
  <c r="L44" i="6"/>
  <c r="K44" i="6"/>
  <c r="L43" i="6"/>
  <c r="K43" i="6"/>
  <c r="L42" i="6"/>
  <c r="K42" i="6"/>
  <c r="H42" i="6"/>
  <c r="L41" i="6"/>
  <c r="K41" i="6"/>
  <c r="K73" i="6" s="1"/>
  <c r="H33" i="6"/>
  <c r="H22" i="6"/>
  <c r="H12" i="6"/>
  <c r="H2" i="6"/>
  <c r="H52" i="5"/>
  <c r="M46" i="5"/>
  <c r="L46" i="5"/>
  <c r="K46" i="5"/>
  <c r="M45" i="5"/>
  <c r="L45" i="5"/>
  <c r="K45" i="5"/>
  <c r="M44" i="5"/>
  <c r="L44" i="5"/>
  <c r="K44" i="5"/>
  <c r="M43" i="5"/>
  <c r="L43" i="5"/>
  <c r="K43" i="5"/>
  <c r="M42" i="5"/>
  <c r="L42" i="5"/>
  <c r="K42" i="5"/>
  <c r="H42" i="5"/>
  <c r="M41" i="5"/>
  <c r="M73" i="5" s="1"/>
  <c r="L41" i="5"/>
  <c r="K41" i="5"/>
  <c r="H33" i="5"/>
  <c r="H22" i="5"/>
  <c r="H12" i="5"/>
  <c r="H2" i="5"/>
  <c r="M41" i="3"/>
  <c r="L41" i="3"/>
  <c r="K41" i="3"/>
  <c r="L41" i="4"/>
  <c r="M41" i="4"/>
  <c r="N42" i="4"/>
  <c r="N43" i="4"/>
  <c r="N44" i="4"/>
  <c r="N45" i="4"/>
  <c r="N46" i="4"/>
  <c r="N41" i="4"/>
  <c r="H52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H42" i="4"/>
  <c r="K41" i="4"/>
  <c r="H33" i="4"/>
  <c r="H22" i="4"/>
  <c r="H12" i="4"/>
  <c r="H2" i="4"/>
  <c r="M42" i="3"/>
  <c r="M43" i="3"/>
  <c r="M44" i="3"/>
  <c r="M45" i="3"/>
  <c r="M46" i="3"/>
  <c r="M73" i="3"/>
  <c r="L42" i="3"/>
  <c r="L43" i="3"/>
  <c r="L44" i="3"/>
  <c r="L45" i="3"/>
  <c r="L46" i="3"/>
  <c r="K42" i="3"/>
  <c r="K43" i="3"/>
  <c r="K44" i="3"/>
  <c r="K73" i="3" s="1"/>
  <c r="K45" i="3"/>
  <c r="K46" i="3"/>
  <c r="L73" i="3"/>
  <c r="H52" i="3"/>
  <c r="H42" i="3"/>
  <c r="H33" i="3"/>
  <c r="H22" i="3"/>
  <c r="H12" i="3"/>
  <c r="H2" i="3"/>
  <c r="N73" i="2"/>
  <c r="M73" i="2"/>
  <c r="L73" i="2"/>
  <c r="K73" i="2"/>
  <c r="N42" i="2"/>
  <c r="N43" i="2"/>
  <c r="N44" i="2"/>
  <c r="N45" i="2"/>
  <c r="N46" i="2"/>
  <c r="N41" i="2"/>
  <c r="M42" i="2"/>
  <c r="M43" i="2"/>
  <c r="M44" i="2"/>
  <c r="M45" i="2"/>
  <c r="M46" i="2"/>
  <c r="M41" i="2"/>
  <c r="K42" i="2"/>
  <c r="K43" i="2"/>
  <c r="K44" i="2"/>
  <c r="K45" i="2"/>
  <c r="K46" i="2"/>
  <c r="K41" i="2"/>
  <c r="L42" i="2"/>
  <c r="L43" i="2"/>
  <c r="L44" i="2"/>
  <c r="L45" i="2"/>
  <c r="L46" i="2"/>
  <c r="L41" i="2"/>
  <c r="H52" i="2"/>
  <c r="H42" i="2"/>
  <c r="H33" i="2"/>
  <c r="H22" i="2"/>
  <c r="H12" i="2"/>
  <c r="H2" i="2"/>
  <c r="L73" i="1"/>
  <c r="M73" i="1"/>
  <c r="N73" i="1"/>
  <c r="O73" i="1"/>
  <c r="K73" i="1"/>
  <c r="H52" i="1"/>
  <c r="H42" i="1"/>
  <c r="H33" i="1"/>
  <c r="H22" i="1"/>
  <c r="H12" i="1"/>
  <c r="H2" i="1"/>
  <c r="O72" i="14" l="1"/>
  <c r="N72" i="14"/>
  <c r="L72" i="14"/>
  <c r="P72" i="14"/>
  <c r="M72" i="14"/>
  <c r="K72" i="14"/>
  <c r="P72" i="13"/>
  <c r="O72" i="13"/>
  <c r="M72" i="13"/>
  <c r="L72" i="13"/>
  <c r="K72" i="13"/>
  <c r="M73" i="4"/>
  <c r="M72" i="11"/>
  <c r="O72" i="11"/>
  <c r="P72" i="11"/>
  <c r="N72" i="11"/>
  <c r="K72" i="11"/>
  <c r="L72" i="10"/>
  <c r="K72" i="10"/>
  <c r="P72" i="9"/>
  <c r="O72" i="9"/>
  <c r="N73" i="6"/>
  <c r="L73" i="6"/>
  <c r="L73" i="5"/>
  <c r="K73" i="5"/>
  <c r="N73" i="4"/>
  <c r="L73" i="4"/>
  <c r="K7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<sst xmlns="http://schemas.openxmlformats.org/spreadsheetml/2006/main" count="773" uniqueCount="44">
  <si>
    <t>year</t>
  </si>
  <si>
    <t>deficit_hours</t>
  </si>
  <si>
    <t>total_deficit_mwh</t>
  </si>
  <si>
    <t>plant_cost</t>
  </si>
  <si>
    <t>penalty_cost</t>
  </si>
  <si>
    <t>total_cost</t>
  </si>
  <si>
    <t>lcoe</t>
  </si>
  <si>
    <t xml:space="preserve">Min solar condition </t>
  </si>
  <si>
    <t xml:space="preserve">Min wind condition </t>
  </si>
  <si>
    <t xml:space="preserve">Min battery condition </t>
  </si>
  <si>
    <t xml:space="preserve">Max pv condition </t>
  </si>
  <si>
    <t xml:space="preserve">Max wind condition </t>
  </si>
  <si>
    <t xml:space="preserve">Max battery condition </t>
  </si>
  <si>
    <t>Min Solar</t>
  </si>
  <si>
    <t>Min Wind</t>
  </si>
  <si>
    <t>Min Battery/Max Solar</t>
  </si>
  <si>
    <t>Max Wind</t>
  </si>
  <si>
    <t>Max battery</t>
  </si>
  <si>
    <t>Total</t>
  </si>
  <si>
    <t>Min Solar/Max wind</t>
  </si>
  <si>
    <t>Min Wind/Max Battery</t>
  </si>
  <si>
    <t>Min Battery</t>
  </si>
  <si>
    <t>Max solar</t>
  </si>
  <si>
    <t>Min Wind/Max Solar</t>
  </si>
  <si>
    <t>Min Solar/Max Wind/Max Battery</t>
  </si>
  <si>
    <t>Min Wind/Min Battery/Max Solar</t>
  </si>
  <si>
    <t>Max Battery</t>
  </si>
  <si>
    <t>Max Solar</t>
  </si>
  <si>
    <t>Min Solar/Max Wind</t>
  </si>
  <si>
    <t>S5 Yoorndoo Ilga, index: 38</t>
  </si>
  <si>
    <t>Min PV</t>
  </si>
  <si>
    <t>Max PV</t>
  </si>
  <si>
    <t>Min Battery/Max PV</t>
  </si>
  <si>
    <t>S6 Roxby Downs Solar Farm, index 39</t>
  </si>
  <si>
    <t>Min PV/Max Battery</t>
  </si>
  <si>
    <t>Min PV/Max Wind</t>
  </si>
  <si>
    <t>Min Wind/Max PV/Max Battery</t>
  </si>
  <si>
    <t>Min Wind/Min Battery/Max PV</t>
  </si>
  <si>
    <t>Min PV/Max wind</t>
  </si>
  <si>
    <t>Min Wind/Max PV</t>
  </si>
  <si>
    <t>Min PV/Max Wind/Max Battery</t>
  </si>
  <si>
    <t>Best Deficit Result</t>
  </si>
  <si>
    <t>Wrost Deficit Results</t>
  </si>
  <si>
    <t>Weasel Solar Farm, index: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</si>
</sst>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'v2'!$J$40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'v2'!$K$39:$P$39</c:f>
              <c:strCache>
                <c:ptCount val="6"/>
                <c:pt idx="0">
                  <c:v>Min Solar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  <c:pt idx="5">
                  <c:v>Max Battery</c:v>
                </c:pt>
              </c:strCache>
            </c:strRef>
          </c:cat>
          <c:val>
            <c:numRef>
              <c:f>'v2'!$K$40:$P$40</c:f>
              <c:numCache>
                <c:formatCode>General</c:formatCode>
                <c:ptCount val="6"/>
                <c:pt idx="0">
                  <c:v>13</c:v>
                </c:pt>
                <c:pt idx="1">
                  <c:v>14</c:v>
                </c:pt>
                <c:pt idx="2">
                  <c:v>17</c:v>
                </c:pt>
                <c:pt idx="3">
                  <c:v>15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2-4F0E-B19B-9138754AB501}"/>
            </c:ext>
          </c:extLst>
        </c:ser>
        <c:ser>
          <c:idx val="1"/>
          <c:order val="1"/>
          <c:tx>
            <c:strRef>
              <c:f>'v2'!$J$41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'v2'!$K$39:$P$39</c:f>
              <c:strCache>
                <c:ptCount val="6"/>
                <c:pt idx="0">
                  <c:v>Min Solar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  <c:pt idx="5">
                  <c:v>Max Battery</c:v>
                </c:pt>
              </c:strCache>
            </c:strRef>
          </c:cat>
          <c:val>
            <c:numRef>
              <c:f>'v2'!$K$41:$P$41</c:f>
              <c:numCache>
                <c:formatCode>General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22</c:v>
                </c:pt>
                <c:pt idx="3">
                  <c:v>23</c:v>
                </c:pt>
                <c:pt idx="4">
                  <c:v>22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2-4F0E-B19B-9138754AB501}"/>
            </c:ext>
          </c:extLst>
        </c:ser>
        <c:ser>
          <c:idx val="2"/>
          <c:order val="2"/>
          <c:tx>
            <c:strRef>
              <c:f>'v2'!$J$42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'v2'!$K$39:$P$39</c:f>
              <c:strCache>
                <c:ptCount val="6"/>
                <c:pt idx="0">
                  <c:v>Min Solar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  <c:pt idx="5">
                  <c:v>Max Battery</c:v>
                </c:pt>
              </c:strCache>
            </c:strRef>
          </c:cat>
          <c:val>
            <c:numRef>
              <c:f>'v2'!$K$42:$P$42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2-4F0E-B19B-9138754AB501}"/>
            </c:ext>
          </c:extLst>
        </c:ser>
        <c:ser>
          <c:idx val="3"/>
          <c:order val="3"/>
          <c:tx>
            <c:strRef>
              <c:f>'v2'!$J$43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'v2'!$K$39:$P$39</c:f>
              <c:strCache>
                <c:ptCount val="6"/>
                <c:pt idx="0">
                  <c:v>Min Solar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  <c:pt idx="5">
                  <c:v>Max Battery</c:v>
                </c:pt>
              </c:strCache>
            </c:strRef>
          </c:cat>
          <c:val>
            <c:numRef>
              <c:f>'v2'!$K$43:$P$43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18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92-4F0E-B19B-9138754AB501}"/>
            </c:ext>
          </c:extLst>
        </c:ser>
        <c:ser>
          <c:idx val="4"/>
          <c:order val="4"/>
          <c:tx>
            <c:strRef>
              <c:f>'v2'!$J$44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'v2'!$K$39:$P$39</c:f>
              <c:strCache>
                <c:ptCount val="6"/>
                <c:pt idx="0">
                  <c:v>Min Solar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  <c:pt idx="5">
                  <c:v>Max Battery</c:v>
                </c:pt>
              </c:strCache>
            </c:strRef>
          </c:cat>
          <c:val>
            <c:numRef>
              <c:f>'v2'!$K$44:$P$44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15</c:v>
                </c:pt>
                <c:pt idx="3">
                  <c:v>12</c:v>
                </c:pt>
                <c:pt idx="4">
                  <c:v>15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92-4F0E-B19B-9138754AB501}"/>
            </c:ext>
          </c:extLst>
        </c:ser>
        <c:ser>
          <c:idx val="5"/>
          <c:order val="5"/>
          <c:tx>
            <c:strRef>
              <c:f>'v2'!$J$45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'v2'!$K$39:$P$39</c:f>
              <c:strCache>
                <c:ptCount val="6"/>
                <c:pt idx="0">
                  <c:v>Min Solar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  <c:pt idx="5">
                  <c:v>Max Battery</c:v>
                </c:pt>
              </c:strCache>
            </c:strRef>
          </c:cat>
          <c:val>
            <c:numRef>
              <c:f>'v2'!$K$45:$P$45</c:f>
              <c:numCache>
                <c:formatCode>General</c:formatCode>
                <c:ptCount val="6"/>
                <c:pt idx="0">
                  <c:v>23</c:v>
                </c:pt>
                <c:pt idx="1">
                  <c:v>28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92-4F0E-B19B-9138754AB5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'v2'!$J$72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'v2'!$K$71:$P$71</c:f>
              <c:strCache>
                <c:ptCount val="6"/>
                <c:pt idx="0">
                  <c:v>Min PV</c:v>
                </c:pt>
                <c:pt idx="1">
                  <c:v>Min Wind</c:v>
                </c:pt>
                <c:pt idx="2">
                  <c:v>Min Battery</c:v>
                </c:pt>
                <c:pt idx="3">
                  <c:v>Max PV</c:v>
                </c:pt>
                <c:pt idx="4">
                  <c:v>Max Wind</c:v>
                </c:pt>
                <c:pt idx="5">
                  <c:v>Max Battery</c:v>
                </c:pt>
              </c:strCache>
            </c:strRef>
          </c:cat>
          <c:val>
            <c:numRef>
              <c:f>'v2'!$K$72:$P$72</c:f>
              <c:numCache>
                <c:formatCode>General</c:formatCode>
                <c:ptCount val="6"/>
                <c:pt idx="0">
                  <c:v>80</c:v>
                </c:pt>
                <c:pt idx="1">
                  <c:v>87</c:v>
                </c:pt>
                <c:pt idx="2">
                  <c:v>109</c:v>
                </c:pt>
                <c:pt idx="3">
                  <c:v>100</c:v>
                </c:pt>
                <c:pt idx="4">
                  <c:v>109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6-493D-BE60-386F066635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'V5'!$J$41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'V5'!$K$41:$O$41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0-4113-814F-9892F4C1A029}"/>
            </c:ext>
          </c:extLst>
        </c:ser>
        <c:ser>
          <c:idx val="1"/>
          <c:order val="1"/>
          <c:tx>
            <c:strRef>
              <c:f>'V5'!$J$42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'V5'!$K$42:$O$42</c:f>
              <c:numCache>
                <c:formatCode>General</c:formatCode>
                <c:ptCount val="5"/>
                <c:pt idx="0">
                  <c:v>51</c:v>
                </c:pt>
                <c:pt idx="1">
                  <c:v>45</c:v>
                </c:pt>
                <c:pt idx="2">
                  <c:v>42</c:v>
                </c:pt>
                <c:pt idx="3">
                  <c:v>47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0-4113-814F-9892F4C1A029}"/>
            </c:ext>
          </c:extLst>
        </c:ser>
        <c:ser>
          <c:idx val="2"/>
          <c:order val="2"/>
          <c:tx>
            <c:strRef>
              <c:f>'V5'!$J$43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'V5'!$K$43:$O$43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0-4113-814F-9892F4C1A029}"/>
            </c:ext>
          </c:extLst>
        </c:ser>
        <c:ser>
          <c:idx val="3"/>
          <c:order val="3"/>
          <c:tx>
            <c:strRef>
              <c:f>'V5'!$J$44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'V5'!$K$44:$O$44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0-4113-814F-9892F4C1A029}"/>
            </c:ext>
          </c:extLst>
        </c:ser>
        <c:ser>
          <c:idx val="4"/>
          <c:order val="4"/>
          <c:tx>
            <c:strRef>
              <c:f>'V5'!$J$45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'V5'!$K$45:$O$45</c:f>
              <c:numCache>
                <c:formatCode>General</c:formatCode>
                <c:ptCount val="5"/>
                <c:pt idx="0">
                  <c:v>27</c:v>
                </c:pt>
                <c:pt idx="1">
                  <c:v>23</c:v>
                </c:pt>
                <c:pt idx="2">
                  <c:v>23</c:v>
                </c:pt>
                <c:pt idx="3">
                  <c:v>25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80-4113-814F-9892F4C1A029}"/>
            </c:ext>
          </c:extLst>
        </c:ser>
        <c:ser>
          <c:idx val="5"/>
          <c:order val="5"/>
          <c:tx>
            <c:strRef>
              <c:f>'V5'!$J$46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'V5'!$K$46:$O$46</c:f>
              <c:numCache>
                <c:formatCode>General</c:formatCode>
                <c:ptCount val="5"/>
                <c:pt idx="0">
                  <c:v>48</c:v>
                </c:pt>
                <c:pt idx="1">
                  <c:v>35</c:v>
                </c:pt>
                <c:pt idx="2">
                  <c:v>34</c:v>
                </c:pt>
                <c:pt idx="3">
                  <c:v>41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80-4113-814F-9892F4C1A0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'V5'!$J$73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'V5'!$K$72:$O$72</c:f>
              <c:strCache>
                <c:ptCount val="5"/>
                <c:pt idx="0">
                  <c:v>Min PV</c:v>
                </c:pt>
                <c:pt idx="1">
                  <c:v>Min Wind</c:v>
                </c:pt>
                <c:pt idx="2">
                  <c:v>Min Battery/Max PV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'V5'!$K$73:$O$73</c:f>
              <c:numCache>
                <c:formatCode>General</c:formatCode>
                <c:ptCount val="5"/>
                <c:pt idx="0">
                  <c:v>172</c:v>
                </c:pt>
                <c:pt idx="1">
                  <c:v>133</c:v>
                </c:pt>
                <c:pt idx="2">
                  <c:v>132</c:v>
                </c:pt>
                <c:pt idx="3">
                  <c:v>155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0-4500-BA5A-9C11D3335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'V7'!$J$40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'V7'!$K$39:$M$39</c:f>
              <c:strCache>
                <c:ptCount val="3"/>
                <c:pt idx="0">
                  <c:v>Min Solar/Max Wind</c:v>
                </c:pt>
                <c:pt idx="1">
                  <c:v>Min Wind/Min Battery/Max Solar</c:v>
                </c:pt>
                <c:pt idx="2">
                  <c:v>Max Battery</c:v>
                </c:pt>
              </c:strCache>
            </c:strRef>
          </c:cat>
          <c:val>
            <c:numRef>
              <c:f>'V7'!$K$40:$M$40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A-4FEE-A0DE-FBCDBABDE331}"/>
            </c:ext>
          </c:extLst>
        </c:ser>
        <c:ser>
          <c:idx val="1"/>
          <c:order val="1"/>
          <c:tx>
            <c:strRef>
              <c:f>'V7'!$J$41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'V7'!$K$39:$M$39</c:f>
              <c:strCache>
                <c:ptCount val="3"/>
                <c:pt idx="0">
                  <c:v>Min Solar/Max Wind</c:v>
                </c:pt>
                <c:pt idx="1">
                  <c:v>Min Wind/Min Battery/Max Solar</c:v>
                </c:pt>
                <c:pt idx="2">
                  <c:v>Max Battery</c:v>
                </c:pt>
              </c:strCache>
            </c:strRef>
          </c:cat>
          <c:val>
            <c:numRef>
              <c:f>'V7'!$K$41:$M$41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A-4FEE-A0DE-FBCDBABDE331}"/>
            </c:ext>
          </c:extLst>
        </c:ser>
        <c:ser>
          <c:idx val="2"/>
          <c:order val="2"/>
          <c:tx>
            <c:strRef>
              <c:f>'V7'!$J$42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'V7'!$K$39:$M$39</c:f>
              <c:strCache>
                <c:ptCount val="3"/>
                <c:pt idx="0">
                  <c:v>Min Solar/Max Wind</c:v>
                </c:pt>
                <c:pt idx="1">
                  <c:v>Min Wind/Min Battery/Max Solar</c:v>
                </c:pt>
                <c:pt idx="2">
                  <c:v>Max Battery</c:v>
                </c:pt>
              </c:strCache>
            </c:strRef>
          </c:cat>
          <c:val>
            <c:numRef>
              <c:f>'V7'!$K$42:$M$42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A-4FEE-A0DE-FBCDBABDE331}"/>
            </c:ext>
          </c:extLst>
        </c:ser>
        <c:ser>
          <c:idx val="3"/>
          <c:order val="3"/>
          <c:tx>
            <c:strRef>
              <c:f>'V7'!$J$43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'V7'!$K$39:$M$39</c:f>
              <c:strCache>
                <c:ptCount val="3"/>
                <c:pt idx="0">
                  <c:v>Min Solar/Max Wind</c:v>
                </c:pt>
                <c:pt idx="1">
                  <c:v>Min Wind/Min Battery/Max Solar</c:v>
                </c:pt>
                <c:pt idx="2">
                  <c:v>Max Battery</c:v>
                </c:pt>
              </c:strCache>
            </c:strRef>
          </c:cat>
          <c:val>
            <c:numRef>
              <c:f>'V7'!$K$43:$M$43</c:f>
              <c:numCache>
                <c:formatCode>General</c:formatCode>
                <c:ptCount val="3"/>
                <c:pt idx="0">
                  <c:v>16</c:v>
                </c:pt>
                <c:pt idx="1">
                  <c:v>17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4A-4FEE-A0DE-FBCDBABDE331}"/>
            </c:ext>
          </c:extLst>
        </c:ser>
        <c:ser>
          <c:idx val="4"/>
          <c:order val="4"/>
          <c:tx>
            <c:strRef>
              <c:f>'V7'!$J$44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'V7'!$K$39:$M$39</c:f>
              <c:strCache>
                <c:ptCount val="3"/>
                <c:pt idx="0">
                  <c:v>Min Solar/Max Wind</c:v>
                </c:pt>
                <c:pt idx="1">
                  <c:v>Min Wind/Min Battery/Max Solar</c:v>
                </c:pt>
                <c:pt idx="2">
                  <c:v>Max Battery</c:v>
                </c:pt>
              </c:strCache>
            </c:strRef>
          </c:cat>
          <c:val>
            <c:numRef>
              <c:f>'V7'!$K$44:$M$44</c:f>
              <c:numCache>
                <c:formatCode>General</c:formatCode>
                <c:ptCount val="3"/>
                <c:pt idx="0">
                  <c:v>7</c:v>
                </c:pt>
                <c:pt idx="1">
                  <c:v>11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A-4FEE-A0DE-FBCDBABDE331}"/>
            </c:ext>
          </c:extLst>
        </c:ser>
        <c:ser>
          <c:idx val="5"/>
          <c:order val="5"/>
          <c:tx>
            <c:strRef>
              <c:f>'V7'!$J$45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'V7'!$K$39:$M$39</c:f>
              <c:strCache>
                <c:ptCount val="3"/>
                <c:pt idx="0">
                  <c:v>Min Solar/Max Wind</c:v>
                </c:pt>
                <c:pt idx="1">
                  <c:v>Min Wind/Min Battery/Max Solar</c:v>
                </c:pt>
                <c:pt idx="2">
                  <c:v>Max Battery</c:v>
                </c:pt>
              </c:strCache>
            </c:strRef>
          </c:cat>
          <c:val>
            <c:numRef>
              <c:f>'V7'!$K$45:$M$45</c:f>
              <c:numCache>
                <c:formatCode>General</c:formatCode>
                <c:ptCount val="3"/>
                <c:pt idx="0">
                  <c:v>26</c:v>
                </c:pt>
                <c:pt idx="1">
                  <c:v>24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4A-4FEE-A0DE-FBCDBABDE3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'V7'!$J$72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'V7'!$K$71:$M$71</c:f>
              <c:strCache>
                <c:ptCount val="3"/>
                <c:pt idx="0">
                  <c:v>Min PV/Max Wind</c:v>
                </c:pt>
                <c:pt idx="1">
                  <c:v>Min Wind/Min Battery/Max PV</c:v>
                </c:pt>
                <c:pt idx="2">
                  <c:v>Min Battery</c:v>
                </c:pt>
              </c:strCache>
            </c:strRef>
          </c:cat>
          <c:val>
            <c:numRef>
              <c:f>'V7'!$K$72:$M$72</c:f>
              <c:numCache>
                <c:formatCode>General</c:formatCode>
                <c:ptCount val="3"/>
                <c:pt idx="0">
                  <c:v>78</c:v>
                </c:pt>
                <c:pt idx="1">
                  <c:v>78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B-4A17-89F1-B436589A5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Ross River Solar Farm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'Q3'!$K$40:$N$40</c:f>
              <c:strCache>
                <c:ptCount val="4"/>
                <c:pt idx="0">
                  <c:v>Min Solar/Max wind</c:v>
                </c:pt>
                <c:pt idx="1">
                  <c:v>Min Wind/Max Battery</c:v>
                </c:pt>
                <c:pt idx="2">
                  <c:v>Min Battery</c:v>
                </c:pt>
                <c:pt idx="3">
                  <c:v>Max solar</c:v>
                </c:pt>
              </c:strCache>
            </c:strRef>
          </c:cat>
          <c:val>
            <c:numRef>
              <c:f>'Q3'!$K$41:$N$41</c:f>
              <c:numCache>
                <c:formatCode>General</c:formatCode>
                <c:ptCount val="4"/>
                <c:pt idx="0">
                  <c:v>16</c:v>
                </c:pt>
                <c:pt idx="1">
                  <c:v>21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B-4E9E-9DF2-14A50A8F4B61}"/>
            </c:ext>
          </c:extLst>
        </c:ser>
        <c:ser>
          <c:idx val="1"/>
          <c:order val="1"/>
          <c:tx>
            <c:strRef>
              <c:f>'Q3'!$J$42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'Q3'!$K$40:$N$40</c:f>
              <c:strCache>
                <c:ptCount val="4"/>
                <c:pt idx="0">
                  <c:v>Min Solar/Max wind</c:v>
                </c:pt>
                <c:pt idx="1">
                  <c:v>Min Wind/Max Battery</c:v>
                </c:pt>
                <c:pt idx="2">
                  <c:v>Min Battery</c:v>
                </c:pt>
                <c:pt idx="3">
                  <c:v>Max solar</c:v>
                </c:pt>
              </c:strCache>
            </c:strRef>
          </c:cat>
          <c:val>
            <c:numRef>
              <c:f>'Q3'!$K$42:$N$42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19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B-4E9E-9DF2-14A50A8F4B61}"/>
            </c:ext>
          </c:extLst>
        </c:ser>
        <c:ser>
          <c:idx val="2"/>
          <c:order val="2"/>
          <c:tx>
            <c:strRef>
              <c:f>'Q3'!$J$43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'Q3'!$K$40:$N$40</c:f>
              <c:strCache>
                <c:ptCount val="4"/>
                <c:pt idx="0">
                  <c:v>Min Solar/Max wind</c:v>
                </c:pt>
                <c:pt idx="1">
                  <c:v>Min Wind/Max Battery</c:v>
                </c:pt>
                <c:pt idx="2">
                  <c:v>Min Battery</c:v>
                </c:pt>
                <c:pt idx="3">
                  <c:v>Max solar</c:v>
                </c:pt>
              </c:strCache>
            </c:strRef>
          </c:cat>
          <c:val>
            <c:numRef>
              <c:f>'Q3'!$K$43:$N$43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13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B-4E9E-9DF2-14A50A8F4B61}"/>
            </c:ext>
          </c:extLst>
        </c:ser>
        <c:ser>
          <c:idx val="3"/>
          <c:order val="3"/>
          <c:tx>
            <c:strRef>
              <c:f>'Q3'!$J$44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'Q3'!$K$40:$N$40</c:f>
              <c:strCache>
                <c:ptCount val="4"/>
                <c:pt idx="0">
                  <c:v>Min Solar/Max wind</c:v>
                </c:pt>
                <c:pt idx="1">
                  <c:v>Min Wind/Max Battery</c:v>
                </c:pt>
                <c:pt idx="2">
                  <c:v>Min Battery</c:v>
                </c:pt>
                <c:pt idx="3">
                  <c:v>Max solar</c:v>
                </c:pt>
              </c:strCache>
            </c:strRef>
          </c:cat>
          <c:val>
            <c:numRef>
              <c:f>'Q3'!$K$44:$N$44</c:f>
              <c:numCache>
                <c:formatCode>General</c:formatCode>
                <c:ptCount val="4"/>
                <c:pt idx="0">
                  <c:v>13</c:v>
                </c:pt>
                <c:pt idx="1">
                  <c:v>17</c:v>
                </c:pt>
                <c:pt idx="2">
                  <c:v>28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6B-4E9E-9DF2-14A50A8F4B61}"/>
            </c:ext>
          </c:extLst>
        </c:ser>
        <c:ser>
          <c:idx val="4"/>
          <c:order val="4"/>
          <c:tx>
            <c:strRef>
              <c:f>'Q3'!$J$45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'Q3'!$K$40:$N$40</c:f>
              <c:strCache>
                <c:ptCount val="4"/>
                <c:pt idx="0">
                  <c:v>Min Solar/Max wind</c:v>
                </c:pt>
                <c:pt idx="1">
                  <c:v>Min Wind/Max Battery</c:v>
                </c:pt>
                <c:pt idx="2">
                  <c:v>Min Battery</c:v>
                </c:pt>
                <c:pt idx="3">
                  <c:v>Max solar</c:v>
                </c:pt>
              </c:strCache>
            </c:strRef>
          </c:cat>
          <c:val>
            <c:numRef>
              <c:f>'Q3'!$K$45:$N$45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6B-4E9E-9DF2-14A50A8F4B61}"/>
            </c:ext>
          </c:extLst>
        </c:ser>
        <c:ser>
          <c:idx val="5"/>
          <c:order val="5"/>
          <c:tx>
            <c:strRef>
              <c:f>'Q3'!$J$46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'Q3'!$K$40:$N$40</c:f>
              <c:strCache>
                <c:ptCount val="4"/>
                <c:pt idx="0">
                  <c:v>Min Solar/Max wind</c:v>
                </c:pt>
                <c:pt idx="1">
                  <c:v>Min Wind/Max Battery</c:v>
                </c:pt>
                <c:pt idx="2">
                  <c:v>Min Battery</c:v>
                </c:pt>
                <c:pt idx="3">
                  <c:v>Max solar</c:v>
                </c:pt>
              </c:strCache>
            </c:strRef>
          </c:cat>
          <c:val>
            <c:numRef>
              <c:f>'Q3'!$K$46:$N$46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6B-4E9E-9DF2-14A50A8F4B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'Q3'!$K$72:$N$72</c:f>
              <c:strCache>
                <c:ptCount val="4"/>
                <c:pt idx="0">
                  <c:v>Min PV/Max wind</c:v>
                </c:pt>
                <c:pt idx="1">
                  <c:v>Min Wind/Max Battery</c:v>
                </c:pt>
                <c:pt idx="2">
                  <c:v>Min Battery</c:v>
                </c:pt>
                <c:pt idx="3">
                  <c:v>Max PV</c:v>
                </c:pt>
              </c:strCache>
            </c:strRef>
          </c:cat>
          <c:val>
            <c:numRef>
              <c:f>'Q3'!$K$73:$N$73</c:f>
              <c:numCache>
                <c:formatCode>General</c:formatCode>
                <c:ptCount val="4"/>
                <c:pt idx="0">
                  <c:v>60</c:v>
                </c:pt>
                <c:pt idx="1">
                  <c:v>68</c:v>
                </c:pt>
                <c:pt idx="2">
                  <c:v>98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C12-B1C6-B268DA631A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'Q10'!$J$41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'Q10'!$K$40:$N$40</c:f>
              <c:strCache>
                <c:ptCount val="4"/>
                <c:pt idx="0">
                  <c:v>Min Solar</c:v>
                </c:pt>
                <c:pt idx="1">
                  <c:v>Min Wind/Min Battery/Max Solar</c:v>
                </c:pt>
                <c:pt idx="2">
                  <c:v>Max Wind</c:v>
                </c:pt>
                <c:pt idx="3">
                  <c:v>Max Battery</c:v>
                </c:pt>
              </c:strCache>
            </c:strRef>
          </c:cat>
          <c:val>
            <c:numRef>
              <c:f>'Q10'!$K$41:$N$41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6-448E-AC6D-574B430EB056}"/>
            </c:ext>
          </c:extLst>
        </c:ser>
        <c:ser>
          <c:idx val="1"/>
          <c:order val="1"/>
          <c:tx>
            <c:strRef>
              <c:f>'Q10'!$J$42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'Q10'!$K$40:$N$40</c:f>
              <c:strCache>
                <c:ptCount val="4"/>
                <c:pt idx="0">
                  <c:v>Min Solar</c:v>
                </c:pt>
                <c:pt idx="1">
                  <c:v>Min Wind/Min Battery/Max Solar</c:v>
                </c:pt>
                <c:pt idx="2">
                  <c:v>Max Wind</c:v>
                </c:pt>
                <c:pt idx="3">
                  <c:v>Max Battery</c:v>
                </c:pt>
              </c:strCache>
            </c:strRef>
          </c:cat>
          <c:val>
            <c:numRef>
              <c:f>'Q10'!$K$42:$N$42</c:f>
              <c:numCache>
                <c:formatCode>General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7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6-448E-AC6D-574B430EB056}"/>
            </c:ext>
          </c:extLst>
        </c:ser>
        <c:ser>
          <c:idx val="2"/>
          <c:order val="2"/>
          <c:tx>
            <c:strRef>
              <c:f>'Q10'!$J$43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'Q10'!$K$40:$N$40</c:f>
              <c:strCache>
                <c:ptCount val="4"/>
                <c:pt idx="0">
                  <c:v>Min Solar</c:v>
                </c:pt>
                <c:pt idx="1">
                  <c:v>Min Wind/Min Battery/Max Solar</c:v>
                </c:pt>
                <c:pt idx="2">
                  <c:v>Max Wind</c:v>
                </c:pt>
                <c:pt idx="3">
                  <c:v>Max Battery</c:v>
                </c:pt>
              </c:strCache>
            </c:strRef>
          </c:cat>
          <c:val>
            <c:numRef>
              <c:f>'Q10'!$K$43:$N$43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6-448E-AC6D-574B430EB056}"/>
            </c:ext>
          </c:extLst>
        </c:ser>
        <c:ser>
          <c:idx val="3"/>
          <c:order val="3"/>
          <c:tx>
            <c:strRef>
              <c:f>'Q10'!$J$44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'Q10'!$K$40:$N$40</c:f>
              <c:strCache>
                <c:ptCount val="4"/>
                <c:pt idx="0">
                  <c:v>Min Solar</c:v>
                </c:pt>
                <c:pt idx="1">
                  <c:v>Min Wind/Min Battery/Max Solar</c:v>
                </c:pt>
                <c:pt idx="2">
                  <c:v>Max Wind</c:v>
                </c:pt>
                <c:pt idx="3">
                  <c:v>Max Battery</c:v>
                </c:pt>
              </c:strCache>
            </c:strRef>
          </c:cat>
          <c:val>
            <c:numRef>
              <c:f>'Q10'!$K$44:$N$44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21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16-448E-AC6D-574B430EB056}"/>
            </c:ext>
          </c:extLst>
        </c:ser>
        <c:ser>
          <c:idx val="4"/>
          <c:order val="4"/>
          <c:tx>
            <c:strRef>
              <c:f>'Q10'!$J$45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'Q10'!$K$40:$N$40</c:f>
              <c:strCache>
                <c:ptCount val="4"/>
                <c:pt idx="0">
                  <c:v>Min Solar</c:v>
                </c:pt>
                <c:pt idx="1">
                  <c:v>Min Wind/Min Battery/Max Solar</c:v>
                </c:pt>
                <c:pt idx="2">
                  <c:v>Max Wind</c:v>
                </c:pt>
                <c:pt idx="3">
                  <c:v>Max Battery</c:v>
                </c:pt>
              </c:strCache>
            </c:strRef>
          </c:cat>
          <c:val>
            <c:numRef>
              <c:f>'Q10'!$K$45:$N$45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16-448E-AC6D-574B430EB056}"/>
            </c:ext>
          </c:extLst>
        </c:ser>
        <c:ser>
          <c:idx val="5"/>
          <c:order val="5"/>
          <c:tx>
            <c:strRef>
              <c:f>'Q10'!$J$46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'Q10'!$K$40:$N$40</c:f>
              <c:strCache>
                <c:ptCount val="4"/>
                <c:pt idx="0">
                  <c:v>Min Solar</c:v>
                </c:pt>
                <c:pt idx="1">
                  <c:v>Min Wind/Min Battery/Max Solar</c:v>
                </c:pt>
                <c:pt idx="2">
                  <c:v>Max Wind</c:v>
                </c:pt>
                <c:pt idx="3">
                  <c:v>Max Battery</c:v>
                </c:pt>
              </c:strCache>
            </c:strRef>
          </c:cat>
          <c:val>
            <c:numRef>
              <c:f>'Q10'!$K$46:$N$46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16-448E-AC6D-574B430EB0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'Q10'!$J$73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'Q10'!$K$72:$N$72</c:f>
              <c:strCache>
                <c:ptCount val="4"/>
                <c:pt idx="0">
                  <c:v>Min PV</c:v>
                </c:pt>
                <c:pt idx="1">
                  <c:v>Min Wind/Min Battery/Max PV</c:v>
                </c:pt>
                <c:pt idx="2">
                  <c:v>Max Wind</c:v>
                </c:pt>
                <c:pt idx="3">
                  <c:v>Max Battery</c:v>
                </c:pt>
              </c:strCache>
            </c:strRef>
          </c:cat>
          <c:val>
            <c:numRef>
              <c:f>'Q10'!$K$73:$N$73</c:f>
              <c:numCache>
                <c:formatCode>General</c:formatCode>
                <c:ptCount val="4"/>
                <c:pt idx="0">
                  <c:v>54</c:v>
                </c:pt>
                <c:pt idx="1">
                  <c:v>65</c:v>
                </c:pt>
                <c:pt idx="2">
                  <c:v>47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5-49D8-9C44-CAEDCA97CC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'Q9'!$K$41:$O$41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3-4D41-979D-3C77CE872892}"/>
            </c:ext>
          </c:extLst>
        </c:ser>
        <c:ser>
          <c:idx val="1"/>
          <c:order val="1"/>
          <c:tx>
            <c:strRef>
              <c:f>'Q9'!$J$42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'Q9'!$K$42:$O$42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3-4D41-979D-3C77CE872892}"/>
            </c:ext>
          </c:extLst>
        </c:ser>
        <c:ser>
          <c:idx val="2"/>
          <c:order val="2"/>
          <c:tx>
            <c:strRef>
              <c:f>'Q9'!$J$43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'Q9'!$K$43:$O$43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F3-4D41-979D-3C77CE872892}"/>
            </c:ext>
          </c:extLst>
        </c:ser>
        <c:ser>
          <c:idx val="3"/>
          <c:order val="3"/>
          <c:tx>
            <c:strRef>
              <c:f>'Q9'!$J$44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'Q9'!$K$44:$O$44</c:f>
              <c:numCache>
                <c:formatCode>General</c:formatCode>
                <c:ptCount val="5"/>
                <c:pt idx="0">
                  <c:v>53</c:v>
                </c:pt>
                <c:pt idx="1">
                  <c:v>64</c:v>
                </c:pt>
                <c:pt idx="2">
                  <c:v>58</c:v>
                </c:pt>
                <c:pt idx="3">
                  <c:v>52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F3-4D41-979D-3C77CE872892}"/>
            </c:ext>
          </c:extLst>
        </c:ser>
        <c:ser>
          <c:idx val="4"/>
          <c:order val="4"/>
          <c:tx>
            <c:strRef>
              <c:f>'Q9'!$J$45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'Q9'!$K$45:$O$45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F3-4D41-979D-3C77CE872892}"/>
            </c:ext>
          </c:extLst>
        </c:ser>
        <c:ser>
          <c:idx val="5"/>
          <c:order val="5"/>
          <c:tx>
            <c:strRef>
              <c:f>'Q9'!$J$46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'Q9'!$K$46:$O$46</c:f>
              <c:numCache>
                <c:formatCode>General</c:formatCode>
                <c:ptCount val="5"/>
                <c:pt idx="0">
                  <c:v>12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F3-4D41-979D-3C77CE8728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'Q9'!$K$72:$O$72</c:f>
              <c:strCache>
                <c:ptCount val="5"/>
                <c:pt idx="0">
                  <c:v>Min PV</c:v>
                </c:pt>
                <c:pt idx="1">
                  <c:v>Min Wind</c:v>
                </c:pt>
                <c:pt idx="2">
                  <c:v>Min Battery/Max PV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'Q9'!$K$73:$O$73</c:f>
              <c:numCache>
                <c:formatCode>General</c:formatCode>
                <c:ptCount val="5"/>
                <c:pt idx="0">
                  <c:v>37</c:v>
                </c:pt>
                <c:pt idx="1">
                  <c:v>51</c:v>
                </c:pt>
                <c:pt idx="2">
                  <c:v>46</c:v>
                </c:pt>
                <c:pt idx="3">
                  <c:v>38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A-4000-8885-A8F9DE7DAA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'S3'!$J$41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'S3'!$K$40:$O$40</c:f>
              <c:strCache>
                <c:ptCount val="5"/>
                <c:pt idx="0">
                  <c:v>Min PV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'S3'!$K$41:$O$41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5-4DD7-9E4F-251BE6ED7628}"/>
            </c:ext>
          </c:extLst>
        </c:ser>
        <c:ser>
          <c:idx val="1"/>
          <c:order val="1"/>
          <c:tx>
            <c:strRef>
              <c:f>'S3'!$J$42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'S3'!$K$40:$O$40</c:f>
              <c:strCache>
                <c:ptCount val="5"/>
                <c:pt idx="0">
                  <c:v>Min PV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'S3'!$K$42:$O$42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5-4DD7-9E4F-251BE6ED7628}"/>
            </c:ext>
          </c:extLst>
        </c:ser>
        <c:ser>
          <c:idx val="2"/>
          <c:order val="2"/>
          <c:tx>
            <c:strRef>
              <c:f>'S3'!$J$43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'S3'!$K$40:$O$40</c:f>
              <c:strCache>
                <c:ptCount val="5"/>
                <c:pt idx="0">
                  <c:v>Min PV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'S3'!$K$43:$O$43</c:f>
              <c:numCache>
                <c:formatCode>General</c:formatCode>
                <c:ptCount val="5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05-4DD7-9E4F-251BE6ED7628}"/>
            </c:ext>
          </c:extLst>
        </c:ser>
        <c:ser>
          <c:idx val="3"/>
          <c:order val="3"/>
          <c:tx>
            <c:strRef>
              <c:f>'S3'!$J$44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'S3'!$K$40:$O$40</c:f>
              <c:strCache>
                <c:ptCount val="5"/>
                <c:pt idx="0">
                  <c:v>Min PV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'S3'!$K$44:$O$44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05-4DD7-9E4F-251BE6ED7628}"/>
            </c:ext>
          </c:extLst>
        </c:ser>
        <c:ser>
          <c:idx val="4"/>
          <c:order val="4"/>
          <c:tx>
            <c:strRef>
              <c:f>'S3'!$J$45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'S3'!$K$40:$O$40</c:f>
              <c:strCache>
                <c:ptCount val="5"/>
                <c:pt idx="0">
                  <c:v>Min PV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'S3'!$K$45:$O$45</c:f>
              <c:numCache>
                <c:formatCode>General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23</c:v>
                </c:pt>
                <c:pt idx="3">
                  <c:v>23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05-4DD7-9E4F-251BE6ED7628}"/>
            </c:ext>
          </c:extLst>
        </c:ser>
        <c:ser>
          <c:idx val="5"/>
          <c:order val="5"/>
          <c:tx>
            <c:strRef>
              <c:f>'S3'!$J$46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'S3'!$K$40:$O$40</c:f>
              <c:strCache>
                <c:ptCount val="5"/>
                <c:pt idx="0">
                  <c:v>Min PV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'S3'!$K$46:$O$46</c:f>
              <c:numCache>
                <c:formatCode>General</c:formatCode>
                <c:ptCount val="5"/>
                <c:pt idx="0">
                  <c:v>44</c:v>
                </c:pt>
                <c:pt idx="1">
                  <c:v>36</c:v>
                </c:pt>
                <c:pt idx="2">
                  <c:v>30</c:v>
                </c:pt>
                <c:pt idx="3">
                  <c:v>31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9-40A3-96C1-3717E70BCE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'S3'!$J$73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'S3'!$K$72:$O$72</c:f>
              <c:strCache>
                <c:ptCount val="5"/>
                <c:pt idx="0">
                  <c:v>Min PV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'S3'!$K$73:$O$73</c:f>
              <c:numCache>
                <c:formatCode>General</c:formatCode>
                <c:ptCount val="5"/>
                <c:pt idx="0">
                  <c:v>116</c:v>
                </c:pt>
                <c:pt idx="1">
                  <c:v>100</c:v>
                </c:pt>
                <c:pt idx="2">
                  <c:v>85</c:v>
                </c:pt>
                <c:pt idx="3">
                  <c:v>84</c:v>
                </c:pt>
                <c:pt idx="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D-40A1-9303-28462394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'S5'!$J$40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'S5'!$K$39:$P$39</c:f>
              <c:strCache>
                <c:ptCount val="4"/>
                <c:pt idx="0">
                  <c:v>Min PV</c:v>
                </c:pt>
                <c:pt idx="1">
                  <c:v>Min Wind/Max Battery</c:v>
                </c:pt>
                <c:pt idx="2">
                  <c:v>Min Battery/Max PV</c:v>
                </c:pt>
                <c:pt idx="3">
                  <c:v>Max Wind</c:v>
                </c:pt>
              </c:strCache>
            </c:strRef>
          </c:cat>
          <c:val>
            <c:numRef>
              <c:f>'S5'!$K$40:$P$40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0-4269-AE9E-C7CC492C70F5}"/>
            </c:ext>
          </c:extLst>
        </c:ser>
        <c:ser>
          <c:idx val="1"/>
          <c:order val="1"/>
          <c:tx>
            <c:strRef>
              <c:f>'S5'!$J$41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'S5'!$K$39:$P$39</c:f>
              <c:strCache>
                <c:ptCount val="4"/>
                <c:pt idx="0">
                  <c:v>Min PV</c:v>
                </c:pt>
                <c:pt idx="1">
                  <c:v>Min Wind/Max Battery</c:v>
                </c:pt>
                <c:pt idx="2">
                  <c:v>Min Battery/Max PV</c:v>
                </c:pt>
                <c:pt idx="3">
                  <c:v>Max Wind</c:v>
                </c:pt>
              </c:strCache>
            </c:strRef>
          </c:cat>
          <c:val>
            <c:numRef>
              <c:f>'S5'!$K$41:$P$41</c:f>
              <c:numCache>
                <c:formatCode>General</c:formatCode>
                <c:ptCount val="6"/>
                <c:pt idx="0">
                  <c:v>26</c:v>
                </c:pt>
                <c:pt idx="1">
                  <c:v>20</c:v>
                </c:pt>
                <c:pt idx="2">
                  <c:v>18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0-4269-AE9E-C7CC492C70F5}"/>
            </c:ext>
          </c:extLst>
        </c:ser>
        <c:ser>
          <c:idx val="2"/>
          <c:order val="2"/>
          <c:tx>
            <c:strRef>
              <c:f>'S5'!$J$42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'S5'!$K$39:$P$39</c:f>
              <c:strCache>
                <c:ptCount val="4"/>
                <c:pt idx="0">
                  <c:v>Min PV</c:v>
                </c:pt>
                <c:pt idx="1">
                  <c:v>Min Wind/Max Battery</c:v>
                </c:pt>
                <c:pt idx="2">
                  <c:v>Min Battery/Max PV</c:v>
                </c:pt>
                <c:pt idx="3">
                  <c:v>Max Wind</c:v>
                </c:pt>
              </c:strCache>
            </c:strRef>
          </c:cat>
          <c:val>
            <c:numRef>
              <c:f>'S5'!$K$42:$P$42</c:f>
              <c:numCache>
                <c:formatCode>General</c:formatCode>
                <c:ptCount val="6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0-4269-AE9E-C7CC492C70F5}"/>
            </c:ext>
          </c:extLst>
        </c:ser>
        <c:ser>
          <c:idx val="3"/>
          <c:order val="3"/>
          <c:tx>
            <c:strRef>
              <c:f>'S5'!$J$43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'S5'!$K$39:$P$39</c:f>
              <c:strCache>
                <c:ptCount val="4"/>
                <c:pt idx="0">
                  <c:v>Min PV</c:v>
                </c:pt>
                <c:pt idx="1">
                  <c:v>Min Wind/Max Battery</c:v>
                </c:pt>
                <c:pt idx="2">
                  <c:v>Min Battery/Max PV</c:v>
                </c:pt>
                <c:pt idx="3">
                  <c:v>Max Wind</c:v>
                </c:pt>
              </c:strCache>
            </c:strRef>
          </c:cat>
          <c:val>
            <c:numRef>
              <c:f>'S5'!$K$43:$P$43</c:f>
              <c:numCache>
                <c:formatCode>General</c:formatCode>
                <c:ptCount val="6"/>
                <c:pt idx="0">
                  <c:v>18</c:v>
                </c:pt>
                <c:pt idx="1">
                  <c:v>13</c:v>
                </c:pt>
                <c:pt idx="2">
                  <c:v>16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00-4269-AE9E-C7CC492C70F5}"/>
            </c:ext>
          </c:extLst>
        </c:ser>
        <c:ser>
          <c:idx val="4"/>
          <c:order val="4"/>
          <c:tx>
            <c:strRef>
              <c:f>'S5'!$J$44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'S5'!$K$39:$P$39</c:f>
              <c:strCache>
                <c:ptCount val="4"/>
                <c:pt idx="0">
                  <c:v>Min PV</c:v>
                </c:pt>
                <c:pt idx="1">
                  <c:v>Min Wind/Max Battery</c:v>
                </c:pt>
                <c:pt idx="2">
                  <c:v>Min Battery/Max PV</c:v>
                </c:pt>
                <c:pt idx="3">
                  <c:v>Max Wind</c:v>
                </c:pt>
              </c:strCache>
            </c:strRef>
          </c:cat>
          <c:val>
            <c:numRef>
              <c:f>'S5'!$K$44:$P$44</c:f>
              <c:numCache>
                <c:formatCode>General</c:formatCode>
                <c:ptCount val="6"/>
                <c:pt idx="0">
                  <c:v>32</c:v>
                </c:pt>
                <c:pt idx="1">
                  <c:v>34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00-4269-AE9E-C7CC492C70F5}"/>
            </c:ext>
          </c:extLst>
        </c:ser>
        <c:ser>
          <c:idx val="5"/>
          <c:order val="5"/>
          <c:tx>
            <c:strRef>
              <c:f>'S5'!$J$45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'S5'!$K$39:$P$39</c:f>
              <c:strCache>
                <c:ptCount val="4"/>
                <c:pt idx="0">
                  <c:v>Min PV</c:v>
                </c:pt>
                <c:pt idx="1">
                  <c:v>Min Wind/Max Battery</c:v>
                </c:pt>
                <c:pt idx="2">
                  <c:v>Min Battery/Max PV</c:v>
                </c:pt>
                <c:pt idx="3">
                  <c:v>Max Wind</c:v>
                </c:pt>
              </c:strCache>
            </c:strRef>
          </c:cat>
          <c:val>
            <c:numRef>
              <c:f>'S5'!$K$45:$P$45</c:f>
              <c:numCache>
                <c:formatCode>General</c:formatCode>
                <c:ptCount val="6"/>
                <c:pt idx="0">
                  <c:v>15</c:v>
                </c:pt>
                <c:pt idx="1">
                  <c:v>14</c:v>
                </c:pt>
                <c:pt idx="2">
                  <c:v>20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00-4269-AE9E-C7CC492C70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'S5'!$J$72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'S5'!$K$71:$N$71</c:f>
              <c:strCache>
                <c:ptCount val="4"/>
                <c:pt idx="0">
                  <c:v>Min PV</c:v>
                </c:pt>
                <c:pt idx="1">
                  <c:v>Min Wind/Max Battery</c:v>
                </c:pt>
                <c:pt idx="2">
                  <c:v>Min Battery/Max PV</c:v>
                </c:pt>
                <c:pt idx="3">
                  <c:v>Max Wind</c:v>
                </c:pt>
              </c:strCache>
            </c:strRef>
          </c:cat>
          <c:val>
            <c:numRef>
              <c:f>'S5'!$K$72:$N$72</c:f>
              <c:numCache>
                <c:formatCode>General</c:formatCode>
                <c:ptCount val="4"/>
                <c:pt idx="0">
                  <c:v>99</c:v>
                </c:pt>
                <c:pt idx="1">
                  <c:v>84</c:v>
                </c:pt>
                <c:pt idx="2">
                  <c:v>85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6-4E28-939C-121537A595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'S6'!$J$40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'S6'!$K$39:$M$39</c:f>
              <c:strCache>
                <c:ptCount val="3"/>
                <c:pt idx="0">
                  <c:v>Min PV/Max Wind</c:v>
                </c:pt>
                <c:pt idx="1">
                  <c:v>Min Wind/Max PV/Max Battery</c:v>
                </c:pt>
                <c:pt idx="2">
                  <c:v>Min Battery</c:v>
                </c:pt>
              </c:strCache>
            </c:strRef>
          </c:cat>
          <c:val>
            <c:numRef>
              <c:f>'S6'!$K$40:$M$40</c:f>
              <c:numCache>
                <c:formatCode>General</c:formatCode>
                <c:ptCount val="3"/>
                <c:pt idx="0">
                  <c:v>15</c:v>
                </c:pt>
                <c:pt idx="1">
                  <c:v>18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1-4614-A5FC-D53CCDFD5539}"/>
            </c:ext>
          </c:extLst>
        </c:ser>
        <c:ser>
          <c:idx val="1"/>
          <c:order val="1"/>
          <c:tx>
            <c:strRef>
              <c:f>'S6'!$J$41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'S6'!$K$39:$M$39</c:f>
              <c:strCache>
                <c:ptCount val="3"/>
                <c:pt idx="0">
                  <c:v>Min PV/Max Wind</c:v>
                </c:pt>
                <c:pt idx="1">
                  <c:v>Min Wind/Max PV/Max Battery</c:v>
                </c:pt>
                <c:pt idx="2">
                  <c:v>Min Battery</c:v>
                </c:pt>
              </c:strCache>
            </c:strRef>
          </c:cat>
          <c:val>
            <c:numRef>
              <c:f>'S6'!$K$41:$M$41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1-4614-A5FC-D53CCDFD5539}"/>
            </c:ext>
          </c:extLst>
        </c:ser>
        <c:ser>
          <c:idx val="2"/>
          <c:order val="2"/>
          <c:tx>
            <c:strRef>
              <c:f>'S6'!$J$42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'S6'!$K$39:$M$39</c:f>
              <c:strCache>
                <c:ptCount val="3"/>
                <c:pt idx="0">
                  <c:v>Min PV/Max Wind</c:v>
                </c:pt>
                <c:pt idx="1">
                  <c:v>Min Wind/Max PV/Max Battery</c:v>
                </c:pt>
                <c:pt idx="2">
                  <c:v>Min Battery</c:v>
                </c:pt>
              </c:strCache>
            </c:strRef>
          </c:cat>
          <c:val>
            <c:numRef>
              <c:f>'S6'!$K$42:$M$42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1-4614-A5FC-D53CCDFD5539}"/>
            </c:ext>
          </c:extLst>
        </c:ser>
        <c:ser>
          <c:idx val="3"/>
          <c:order val="3"/>
          <c:tx>
            <c:strRef>
              <c:f>'S6'!$J$43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'S6'!$K$39:$M$39</c:f>
              <c:strCache>
                <c:ptCount val="3"/>
                <c:pt idx="0">
                  <c:v>Min PV/Max Wind</c:v>
                </c:pt>
                <c:pt idx="1">
                  <c:v>Min Wind/Max PV/Max Battery</c:v>
                </c:pt>
                <c:pt idx="2">
                  <c:v>Min Battery</c:v>
                </c:pt>
              </c:strCache>
            </c:strRef>
          </c:cat>
          <c:val>
            <c:numRef>
              <c:f>'S6'!$K$43:$M$43</c:f>
              <c:numCache>
                <c:formatCode>General</c:formatCode>
                <c:ptCount val="3"/>
                <c:pt idx="0">
                  <c:v>16</c:v>
                </c:pt>
                <c:pt idx="1">
                  <c:v>34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1-4614-A5FC-D53CCDFD5539}"/>
            </c:ext>
          </c:extLst>
        </c:ser>
        <c:ser>
          <c:idx val="4"/>
          <c:order val="4"/>
          <c:tx>
            <c:strRef>
              <c:f>'S6'!$J$44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'S6'!$K$39:$M$39</c:f>
              <c:strCache>
                <c:ptCount val="3"/>
                <c:pt idx="0">
                  <c:v>Min PV/Max Wind</c:v>
                </c:pt>
                <c:pt idx="1">
                  <c:v>Min Wind/Max PV/Max Battery</c:v>
                </c:pt>
                <c:pt idx="2">
                  <c:v>Min Battery</c:v>
                </c:pt>
              </c:strCache>
            </c:strRef>
          </c:cat>
          <c:val>
            <c:numRef>
              <c:f>'S6'!$K$44:$M$44</c:f>
              <c:numCache>
                <c:formatCode>General</c:formatCode>
                <c:ptCount val="3"/>
                <c:pt idx="0">
                  <c:v>37</c:v>
                </c:pt>
                <c:pt idx="1">
                  <c:v>43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1-4614-A5FC-D53CCDFD5539}"/>
            </c:ext>
          </c:extLst>
        </c:ser>
        <c:ser>
          <c:idx val="5"/>
          <c:order val="5"/>
          <c:tx>
            <c:strRef>
              <c:f>'S6'!$J$45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'S6'!$K$39:$M$39</c:f>
              <c:strCache>
                <c:ptCount val="3"/>
                <c:pt idx="0">
                  <c:v>Min PV/Max Wind</c:v>
                </c:pt>
                <c:pt idx="1">
                  <c:v>Min Wind/Max PV/Max Battery</c:v>
                </c:pt>
                <c:pt idx="2">
                  <c:v>Min Battery</c:v>
                </c:pt>
              </c:strCache>
            </c:strRef>
          </c:cat>
          <c:val>
            <c:numRef>
              <c:f>'S6'!$K$45:$M$45</c:f>
              <c:numCache>
                <c:formatCode>General</c:formatCode>
                <c:ptCount val="3"/>
                <c:pt idx="0">
                  <c:v>29</c:v>
                </c:pt>
                <c:pt idx="1">
                  <c:v>38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31-4614-A5FC-D53CCDFD55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'S6'!$J$72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'S6'!$K$71:$M$71</c:f>
              <c:strCache>
                <c:ptCount val="3"/>
                <c:pt idx="0">
                  <c:v>Min PV/Max Wind</c:v>
                </c:pt>
                <c:pt idx="1">
                  <c:v>Min Wind/Max PV/Max Battery</c:v>
                </c:pt>
                <c:pt idx="2">
                  <c:v>Min Battery</c:v>
                </c:pt>
              </c:strCache>
            </c:strRef>
          </c:cat>
          <c:val>
            <c:numRef>
              <c:f>'S6'!$K$72:$M$72</c:f>
              <c:numCache>
                <c:formatCode>General</c:formatCode>
                <c:ptCount val="3"/>
                <c:pt idx="0">
                  <c:v>104</c:v>
                </c:pt>
                <c:pt idx="1">
                  <c:v>138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0-44FD-87AE-B0FDE37B37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sz="1400" b="0" i="0" u="none" strike="noStrike" baseline="0">
                <a:effectLst/>
              </a:rPr>
              <a:t>Studland Bay Wind Farm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'T2'!$J$41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'T2'!$K$41:$M$41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F-4347-8579-2FDBB588CAD9}"/>
            </c:ext>
          </c:extLst>
        </c:ser>
        <c:ser>
          <c:idx val="1"/>
          <c:order val="1"/>
          <c:tx>
            <c:strRef>
              <c:f>'T2'!$J$42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'T2'!$K$42:$M$42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F-4347-8579-2FDBB588CAD9}"/>
            </c:ext>
          </c:extLst>
        </c:ser>
        <c:ser>
          <c:idx val="2"/>
          <c:order val="2"/>
          <c:tx>
            <c:strRef>
              <c:f>'T2'!$J$43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'T2'!$K$43:$M$43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F-4347-8579-2FDBB588CAD9}"/>
            </c:ext>
          </c:extLst>
        </c:ser>
        <c:ser>
          <c:idx val="3"/>
          <c:order val="3"/>
          <c:tx>
            <c:strRef>
              <c:f>'T2'!$J$44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'T2'!$K$44:$M$44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FF-4347-8579-2FDBB588CAD9}"/>
            </c:ext>
          </c:extLst>
        </c:ser>
        <c:ser>
          <c:idx val="4"/>
          <c:order val="4"/>
          <c:tx>
            <c:strRef>
              <c:f>'T2'!$J$45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'T2'!$K$45:$M$45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FF-4347-8579-2FDBB588CAD9}"/>
            </c:ext>
          </c:extLst>
        </c:ser>
        <c:ser>
          <c:idx val="5"/>
          <c:order val="5"/>
          <c:tx>
            <c:strRef>
              <c:f>'T2'!$J$46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'T2'!$K$46:$M$46</c:f>
              <c:numCache>
                <c:formatCode>General</c:formatCode>
                <c:ptCount val="3"/>
                <c:pt idx="0">
                  <c:v>23</c:v>
                </c:pt>
                <c:pt idx="1">
                  <c:v>17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FF-4347-8579-2FDBB588CA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'T2'!$J$73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'T2'!$K$72:$M$72</c:f>
              <c:strCache>
                <c:ptCount val="3"/>
                <c:pt idx="0">
                  <c:v>Min PV/Max Wind/Max Battery</c:v>
                </c:pt>
                <c:pt idx="1">
                  <c:v>Min Wind/Max PV</c:v>
                </c:pt>
                <c:pt idx="2">
                  <c:v>Min Battery</c:v>
                </c:pt>
              </c:strCache>
            </c:strRef>
          </c:cat>
          <c:val>
            <c:numRef>
              <c:f>'T2'!$K$73:$M$73</c:f>
              <c:numCache>
                <c:formatCode>General</c:formatCode>
                <c:ptCount val="3"/>
                <c:pt idx="0">
                  <c:v>40</c:v>
                </c:pt>
                <c:pt idx="1">
                  <c:v>36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7-4FFF-89EB-68554F2986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 sz="1300"/>
                  <a:t>Number</a:t>
                </a:r>
                <a:r>
                  <a:rPr lang="en-AU" altLang="zh-CN" sz="1300" baseline="0"/>
                  <a:t> of deficits in 5 years</a:t>
                </a:r>
                <a:endParaRPr lang="zh-CN" altLang="en-US" sz="13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'T3'!$J$40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'T3'!$K$39:$N$39</c:f>
              <c:strCache>
                <c:ptCount val="4"/>
                <c:pt idx="0">
                  <c:v>Min PV/Max Wind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Battery</c:v>
                </c:pt>
              </c:strCache>
            </c:strRef>
          </c:cat>
          <c:val>
            <c:numRef>
              <c:f>'T3'!$K$40:$N$40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E-4841-9D27-DC793BF9200F}"/>
            </c:ext>
          </c:extLst>
        </c:ser>
        <c:ser>
          <c:idx val="1"/>
          <c:order val="1"/>
          <c:tx>
            <c:strRef>
              <c:f>'T3'!$J$41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'T3'!$K$39:$N$39</c:f>
              <c:strCache>
                <c:ptCount val="4"/>
                <c:pt idx="0">
                  <c:v>Min PV/Max Wind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Battery</c:v>
                </c:pt>
              </c:strCache>
            </c:strRef>
          </c:cat>
          <c:val>
            <c:numRef>
              <c:f>'T3'!$K$41:$N$41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E-4841-9D27-DC793BF9200F}"/>
            </c:ext>
          </c:extLst>
        </c:ser>
        <c:ser>
          <c:idx val="2"/>
          <c:order val="2"/>
          <c:tx>
            <c:strRef>
              <c:f>'T3'!$J$42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'T3'!$K$39:$N$39</c:f>
              <c:strCache>
                <c:ptCount val="4"/>
                <c:pt idx="0">
                  <c:v>Min PV/Max Wind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Battery</c:v>
                </c:pt>
              </c:strCache>
            </c:strRef>
          </c:cat>
          <c:val>
            <c:numRef>
              <c:f>'T3'!$K$42:$N$42</c:f>
              <c:numCache>
                <c:formatCode>General</c:formatCode>
                <c:ptCount val="4"/>
                <c:pt idx="0">
                  <c:v>38</c:v>
                </c:pt>
                <c:pt idx="1">
                  <c:v>35</c:v>
                </c:pt>
                <c:pt idx="2">
                  <c:v>36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E-4841-9D27-DC793BF9200F}"/>
            </c:ext>
          </c:extLst>
        </c:ser>
        <c:ser>
          <c:idx val="3"/>
          <c:order val="3"/>
          <c:tx>
            <c:strRef>
              <c:f>'T3'!$J$43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'T3'!$K$39:$N$39</c:f>
              <c:strCache>
                <c:ptCount val="4"/>
                <c:pt idx="0">
                  <c:v>Min PV/Max Wind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Battery</c:v>
                </c:pt>
              </c:strCache>
            </c:strRef>
          </c:cat>
          <c:val>
            <c:numRef>
              <c:f>'T3'!$K$43:$N$43</c:f>
              <c:numCache>
                <c:formatCode>General</c:formatCode>
                <c:ptCount val="4"/>
                <c:pt idx="0">
                  <c:v>24</c:v>
                </c:pt>
                <c:pt idx="1">
                  <c:v>22</c:v>
                </c:pt>
                <c:pt idx="2">
                  <c:v>21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6E-4841-9D27-DC793BF9200F}"/>
            </c:ext>
          </c:extLst>
        </c:ser>
        <c:ser>
          <c:idx val="4"/>
          <c:order val="4"/>
          <c:tx>
            <c:strRef>
              <c:f>'T3'!$J$44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'T3'!$K$39:$N$39</c:f>
              <c:strCache>
                <c:ptCount val="4"/>
                <c:pt idx="0">
                  <c:v>Min PV/Max Wind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Battery</c:v>
                </c:pt>
              </c:strCache>
            </c:strRef>
          </c:cat>
          <c:val>
            <c:numRef>
              <c:f>'T3'!$K$44:$N$44</c:f>
              <c:numCache>
                <c:formatCode>General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6E-4841-9D27-DC793BF9200F}"/>
            </c:ext>
          </c:extLst>
        </c:ser>
        <c:ser>
          <c:idx val="5"/>
          <c:order val="5"/>
          <c:tx>
            <c:strRef>
              <c:f>'T3'!$J$45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'T3'!$K$39:$N$39</c:f>
              <c:strCache>
                <c:ptCount val="4"/>
                <c:pt idx="0">
                  <c:v>Min PV/Max Wind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Battery</c:v>
                </c:pt>
              </c:strCache>
            </c:strRef>
          </c:cat>
          <c:val>
            <c:numRef>
              <c:f>'T3'!$K$45:$N$45</c:f>
              <c:numCache>
                <c:formatCode>General</c:formatCode>
                <c:ptCount val="4"/>
                <c:pt idx="0">
                  <c:v>19</c:v>
                </c:pt>
                <c:pt idx="1">
                  <c:v>14</c:v>
                </c:pt>
                <c:pt idx="2">
                  <c:v>15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6E-4841-9D27-DC793BF920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'T3'!$J$72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'T3'!$K$71:$N$71</c:f>
              <c:strCache>
                <c:ptCount val="4"/>
                <c:pt idx="0">
                  <c:v>Min PV/Max Wind</c:v>
                </c:pt>
                <c:pt idx="1">
                  <c:v>Min Wind/Max PV</c:v>
                </c:pt>
                <c:pt idx="2">
                  <c:v>Min Battery</c:v>
                </c:pt>
                <c:pt idx="3">
                  <c:v>Max Battery</c:v>
                </c:pt>
              </c:strCache>
            </c:strRef>
          </c:cat>
          <c:val>
            <c:numRef>
              <c:f>'T3'!$K$72:$N$72</c:f>
              <c:numCache>
                <c:formatCode>General</c:formatCode>
                <c:ptCount val="4"/>
                <c:pt idx="0">
                  <c:v>118</c:v>
                </c:pt>
                <c:pt idx="1">
                  <c:v>102</c:v>
                </c:pt>
                <c:pt idx="2">
                  <c:v>104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D-437D-8CA2-2F149B6A2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Robertstown Solar Project</a:t>
            </a:r>
            <a:r>
              <a:rPr lang="en-AU" altLang="zh-CN" baseline="0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'T1'!$J$40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'T1'!$K$39:$O$39</c:f>
              <c:strCache>
                <c:ptCount val="5"/>
                <c:pt idx="0">
                  <c:v>Min PV/Max Battery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</c:strCache>
            </c:strRef>
          </c:cat>
          <c:val>
            <c:numRef>
              <c:f>'T1'!$K$40:$O$40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8-49B0-923D-AAA072E34706}"/>
            </c:ext>
          </c:extLst>
        </c:ser>
        <c:ser>
          <c:idx val="1"/>
          <c:order val="1"/>
          <c:tx>
            <c:strRef>
              <c:f>'T1'!$J$41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'T1'!$K$39:$O$39</c:f>
              <c:strCache>
                <c:ptCount val="5"/>
                <c:pt idx="0">
                  <c:v>Min PV/Max Battery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</c:strCache>
            </c:strRef>
          </c:cat>
          <c:val>
            <c:numRef>
              <c:f>'T1'!$K$41:$O$41</c:f>
              <c:numCache>
                <c:formatCode>General</c:formatCode>
                <c:ptCount val="5"/>
                <c:pt idx="0">
                  <c:v>11</c:v>
                </c:pt>
                <c:pt idx="1">
                  <c:v>14</c:v>
                </c:pt>
                <c:pt idx="2">
                  <c:v>8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8-49B0-923D-AAA072E34706}"/>
            </c:ext>
          </c:extLst>
        </c:ser>
        <c:ser>
          <c:idx val="2"/>
          <c:order val="2"/>
          <c:tx>
            <c:strRef>
              <c:f>'T1'!$J$42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'T1'!$K$39:$O$39</c:f>
              <c:strCache>
                <c:ptCount val="5"/>
                <c:pt idx="0">
                  <c:v>Min PV/Max Battery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</c:strCache>
            </c:strRef>
          </c:cat>
          <c:val>
            <c:numRef>
              <c:f>'T1'!$K$42:$O$42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8-49B0-923D-AAA072E34706}"/>
            </c:ext>
          </c:extLst>
        </c:ser>
        <c:ser>
          <c:idx val="3"/>
          <c:order val="3"/>
          <c:tx>
            <c:strRef>
              <c:f>'T1'!$J$43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'T1'!$K$39:$O$39</c:f>
              <c:strCache>
                <c:ptCount val="5"/>
                <c:pt idx="0">
                  <c:v>Min PV/Max Battery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</c:strCache>
            </c:strRef>
          </c:cat>
          <c:val>
            <c:numRef>
              <c:f>'T1'!$K$43:$O$43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8-49B0-923D-AAA072E34706}"/>
            </c:ext>
          </c:extLst>
        </c:ser>
        <c:ser>
          <c:idx val="4"/>
          <c:order val="4"/>
          <c:tx>
            <c:strRef>
              <c:f>'T1'!$J$44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'T1'!$K$39:$O$39</c:f>
              <c:strCache>
                <c:ptCount val="5"/>
                <c:pt idx="0">
                  <c:v>Min PV/Max Battery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</c:strCache>
            </c:strRef>
          </c:cat>
          <c:val>
            <c:numRef>
              <c:f>'T1'!$K$44:$O$44</c:f>
              <c:numCache>
                <c:formatCode>General</c:formatCode>
                <c:ptCount val="5"/>
                <c:pt idx="0">
                  <c:v>13</c:v>
                </c:pt>
                <c:pt idx="1">
                  <c:v>17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08-49B0-923D-AAA072E34706}"/>
            </c:ext>
          </c:extLst>
        </c:ser>
        <c:ser>
          <c:idx val="5"/>
          <c:order val="5"/>
          <c:tx>
            <c:strRef>
              <c:f>'T1'!$J$45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'T1'!$K$39:$O$39</c:f>
              <c:strCache>
                <c:ptCount val="5"/>
                <c:pt idx="0">
                  <c:v>Min PV/Max Battery</c:v>
                </c:pt>
                <c:pt idx="1">
                  <c:v>Min Wind</c:v>
                </c:pt>
                <c:pt idx="2">
                  <c:v>Min Battery</c:v>
                </c:pt>
                <c:pt idx="3">
                  <c:v>Max Solar</c:v>
                </c:pt>
                <c:pt idx="4">
                  <c:v>Max Wind</c:v>
                </c:pt>
              </c:strCache>
            </c:strRef>
          </c:cat>
          <c:val>
            <c:numRef>
              <c:f>'T1'!$K$45:$O$45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08-49B0-923D-AAA072E347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'T1'!$J$72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'T1'!$K$71:$O$71</c:f>
              <c:strCache>
                <c:ptCount val="5"/>
                <c:pt idx="0">
                  <c:v>Min PV/Max Battery</c:v>
                </c:pt>
                <c:pt idx="1">
                  <c:v>Min Wind</c:v>
                </c:pt>
                <c:pt idx="2">
                  <c:v>Min Battery</c:v>
                </c:pt>
                <c:pt idx="3">
                  <c:v>Max PV</c:v>
                </c:pt>
                <c:pt idx="4">
                  <c:v>Max Wind</c:v>
                </c:pt>
              </c:strCache>
            </c:strRef>
          </c:cat>
          <c:val>
            <c:numRef>
              <c:f>'T1'!$K$72:$O$72</c:f>
              <c:numCache>
                <c:formatCode>General</c:formatCode>
                <c:ptCount val="5"/>
                <c:pt idx="0">
                  <c:v>52</c:v>
                </c:pt>
                <c:pt idx="1">
                  <c:v>65</c:v>
                </c:pt>
                <c:pt idx="2">
                  <c:v>48</c:v>
                </c:pt>
                <c:pt idx="3">
                  <c:v>55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8-49F3-A544-643A1DEC4F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</a:t>
            </a:r>
          </a:p>
          <a:p>
            <a:pPr>
              <a:defRPr/>
            </a:pPr>
            <a:r>
              <a:rPr lang="en-AU" altLang="zh-CN" baseline="0"/>
              <a:t> </a:t>
            </a:r>
            <a:r>
              <a:rPr lang="en-AU" sz="1400" b="0" i="0" u="none" strike="noStrike" baseline="0">
                <a:effectLst/>
              </a:rPr>
              <a:t>Moree Solar Farm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'N1'!$J$41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'N1'!$K$40:$M$40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'N1'!$K$41:$M$41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9-4D66-9A9F-235A805EE3D4}"/>
            </c:ext>
          </c:extLst>
        </c:ser>
        <c:ser>
          <c:idx val="1"/>
          <c:order val="1"/>
          <c:tx>
            <c:strRef>
              <c:f>'N1'!$J$42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'N1'!$K$40:$M$40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'N1'!$K$42:$M$42</c:f>
              <c:numCache>
                <c:formatCode>General</c:formatCode>
                <c:ptCount val="3"/>
                <c:pt idx="0">
                  <c:v>8</c:v>
                </c:pt>
                <c:pt idx="1">
                  <c:v>19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9-4D66-9A9F-235A805EE3D4}"/>
            </c:ext>
          </c:extLst>
        </c:ser>
        <c:ser>
          <c:idx val="2"/>
          <c:order val="2"/>
          <c:tx>
            <c:strRef>
              <c:f>'N1'!$J$43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'N1'!$K$40:$M$40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'N1'!$K$43:$M$43</c:f>
              <c:numCache>
                <c:formatCode>General</c:formatCode>
                <c:ptCount val="3"/>
                <c:pt idx="0">
                  <c:v>6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9-4D66-9A9F-235A805EE3D4}"/>
            </c:ext>
          </c:extLst>
        </c:ser>
        <c:ser>
          <c:idx val="3"/>
          <c:order val="3"/>
          <c:tx>
            <c:strRef>
              <c:f>'N1'!$J$44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'N1'!$K$40:$M$40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'N1'!$K$44:$M$44</c:f>
              <c:numCache>
                <c:formatCode>General</c:formatCode>
                <c:ptCount val="3"/>
                <c:pt idx="0">
                  <c:v>27</c:v>
                </c:pt>
                <c:pt idx="1">
                  <c:v>27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59-4D66-9A9F-235A805EE3D4}"/>
            </c:ext>
          </c:extLst>
        </c:ser>
        <c:ser>
          <c:idx val="4"/>
          <c:order val="4"/>
          <c:tx>
            <c:strRef>
              <c:f>'N1'!$J$45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'N1'!$K$40:$M$40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'N1'!$K$45:$M$45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59-4D66-9A9F-235A805EE3D4}"/>
            </c:ext>
          </c:extLst>
        </c:ser>
        <c:ser>
          <c:idx val="5"/>
          <c:order val="5"/>
          <c:tx>
            <c:strRef>
              <c:f>'N1'!$J$46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'N1'!$K$40:$M$40</c:f>
              <c:strCache>
                <c:ptCount val="3"/>
                <c:pt idx="0">
                  <c:v>Min Solar/Max Wind/Max Battery</c:v>
                </c:pt>
                <c:pt idx="1">
                  <c:v>Min Wind/Max Solar</c:v>
                </c:pt>
                <c:pt idx="2">
                  <c:v>Min Battery</c:v>
                </c:pt>
              </c:strCache>
            </c:strRef>
          </c:cat>
          <c:val>
            <c:numRef>
              <c:f>'N1'!$K$46:$M$46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59-4D66-9A9F-235A805EE3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'N1'!$J$73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'N1'!$K$72:$M$72</c:f>
              <c:strCache>
                <c:ptCount val="3"/>
                <c:pt idx="0">
                  <c:v>Min PV/Max Wind/Max Battery</c:v>
                </c:pt>
                <c:pt idx="1">
                  <c:v>Min Wind/Max PV</c:v>
                </c:pt>
                <c:pt idx="2">
                  <c:v>Min Battery</c:v>
                </c:pt>
              </c:strCache>
            </c:strRef>
          </c:cat>
          <c:val>
            <c:numRef>
              <c:f>'N1'!$K$73:$M$73</c:f>
              <c:numCache>
                <c:formatCode>General</c:formatCode>
                <c:ptCount val="3"/>
                <c:pt idx="0">
                  <c:v>43</c:v>
                </c:pt>
                <c:pt idx="1">
                  <c:v>67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E-40C2-83B1-1EC1CE9763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45</xdr:row>
      <xdr:rowOff>180974</xdr:rowOff>
    </xdr:from>
    <xdr:to>
      <xdr:col>16</xdr:col>
      <xdr:colOff>438150</xdr:colOff>
      <xdr:row>67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5BD5436-503B-4853-BE57-0D6F65B9F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74</xdr:row>
      <xdr:rowOff>109536</xdr:rowOff>
    </xdr:from>
    <xdr:to>
      <xdr:col>15</xdr:col>
      <xdr:colOff>514350</xdr:colOff>
      <xdr:row>94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953E5F2-0FB0-4B08-865A-EF4B86939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19914</xdr:colOff>
      <xdr:row>13</xdr:row>
      <xdr:rowOff>104976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18008E7-6C3A-FD1B-BA54-C694AD86C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67700" y="1333500"/>
          <a:ext cx="6192114" cy="1438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542925</xdr:colOff>
      <xdr:row>1</xdr:row>
      <xdr:rowOff>152400</xdr:rowOff>
    </xdr:from>
    <xdr:to>
      <xdr:col>13</xdr:col>
      <xdr:colOff>86138</xdr:colOff>
      <xdr:row>27</xdr:row>
      <xdr:rowOff>38775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3FE0FC2-697E-FBB1-FDFE-928552FE4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152400"/>
          <a:ext cx="2962688" cy="4839375"/>
        </a:xfrm>
        <a:prstGeom prst="rect">
          <a:avLst/>
        </a:prstGeom>
      </xdr:spPr>
    </xdr:pic>
    <xdr:clientData/>
  </xdr:twoCellAnchor>
  <xdr:twoCellAnchor>
    <xdr:from>
      <xdr:col>9</xdr:col>
      <xdr:colOff>581024</xdr:colOff>
      <xdr:row>46</xdr:row>
      <xdr:rowOff>180974</xdr:rowOff>
    </xdr:from>
    <xdr:to>
      <xdr:col>21</xdr:col>
      <xdr:colOff>104775</xdr:colOff>
      <xdr:row>68</xdr:row>
      <xdr:rowOff>76199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8743670-52BD-DDDE-70BE-D911D285C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33336</xdr:colOff>
      <xdr:row>70</xdr:row>
      <xdr:rowOff>52386</xdr:rowOff>
    </xdr:from>
    <xdr:to>
      <xdr:col>27</xdr:col>
      <xdr:colOff>114299</xdr:colOff>
      <xdr:row>89</xdr:row>
      <xdr:rowOff>171449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3C67287-37C9-330C-574E-275BC9C72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542925</xdr:colOff>
      <xdr:row>5</xdr:row>
      <xdr:rowOff>85725</xdr:rowOff>
    </xdr:from>
    <xdr:to>
      <xdr:col>23</xdr:col>
      <xdr:colOff>391292</xdr:colOff>
      <xdr:row>12</xdr:row>
      <xdr:rowOff>162122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0FB3B44-91C9-872C-F467-18EC9B5B8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77725" y="1038225"/>
          <a:ext cx="5496692" cy="14098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45</xdr:row>
      <xdr:rowOff>180974</xdr:rowOff>
    </xdr:from>
    <xdr:to>
      <xdr:col>16</xdr:col>
      <xdr:colOff>438150</xdr:colOff>
      <xdr:row>67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43BB4DA-552E-42E1-A50D-2A0F53352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74</xdr:row>
      <xdr:rowOff>109536</xdr:rowOff>
    </xdr:from>
    <xdr:to>
      <xdr:col>15</xdr:col>
      <xdr:colOff>514350</xdr:colOff>
      <xdr:row>94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E532855-2665-449B-9A05-E1708C994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8</xdr:row>
      <xdr:rowOff>0</xdr:rowOff>
    </xdr:from>
    <xdr:to>
      <xdr:col>18</xdr:col>
      <xdr:colOff>486783</xdr:colOff>
      <xdr:row>15</xdr:row>
      <xdr:rowOff>124028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2D4494C-367F-89DE-6357-7F1114AD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34525" y="1524000"/>
          <a:ext cx="7220958" cy="14575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46</xdr:row>
      <xdr:rowOff>180974</xdr:rowOff>
    </xdr:from>
    <xdr:to>
      <xdr:col>19</xdr:col>
      <xdr:colOff>104775</xdr:colOff>
      <xdr:row>68</xdr:row>
      <xdr:rowOff>76199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50A451B-4A66-4B3C-9BC2-348031545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33336</xdr:colOff>
      <xdr:row>70</xdr:row>
      <xdr:rowOff>52386</xdr:rowOff>
    </xdr:from>
    <xdr:to>
      <xdr:col>26</xdr:col>
      <xdr:colOff>47625</xdr:colOff>
      <xdr:row>89</xdr:row>
      <xdr:rowOff>171449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417CCF4-9276-4710-B197-5BB8EBFAB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13</xdr:col>
      <xdr:colOff>305237</xdr:colOff>
      <xdr:row>27</xdr:row>
      <xdr:rowOff>76875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457A882-1D88-40F2-27D5-721D94054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34525" y="381000"/>
          <a:ext cx="3134162" cy="48393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23</xdr:col>
      <xdr:colOff>324576</xdr:colOff>
      <xdr:row>18</xdr:row>
      <xdr:rowOff>114502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6A5C9FB-8189-8ECF-6899-CA6D106ED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92200" y="2095500"/>
          <a:ext cx="5201376" cy="14480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46</xdr:row>
      <xdr:rowOff>180974</xdr:rowOff>
    </xdr:from>
    <xdr:to>
      <xdr:col>16</xdr:col>
      <xdr:colOff>438150</xdr:colOff>
      <xdr:row>68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11A2C32-A7FD-423A-8469-BCDCEA6B2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75</xdr:row>
      <xdr:rowOff>109536</xdr:rowOff>
    </xdr:from>
    <xdr:to>
      <xdr:col>15</xdr:col>
      <xdr:colOff>514350</xdr:colOff>
      <xdr:row>95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CD36A16-BF11-47F2-8950-5247C8AE0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866775</xdr:colOff>
      <xdr:row>8</xdr:row>
      <xdr:rowOff>171450</xdr:rowOff>
    </xdr:from>
    <xdr:to>
      <xdr:col>15</xdr:col>
      <xdr:colOff>543741</xdr:colOff>
      <xdr:row>16</xdr:row>
      <xdr:rowOff>28768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6021EC7-9A8C-F9E6-1911-3953F12D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4475" y="1695450"/>
          <a:ext cx="5849166" cy="13813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46</xdr:row>
      <xdr:rowOff>180974</xdr:rowOff>
    </xdr:from>
    <xdr:to>
      <xdr:col>16</xdr:col>
      <xdr:colOff>438150</xdr:colOff>
      <xdr:row>68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286DBBE-C595-4428-A7B4-2AF69B498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75</xdr:row>
      <xdr:rowOff>109536</xdr:rowOff>
    </xdr:from>
    <xdr:to>
      <xdr:col>15</xdr:col>
      <xdr:colOff>514350</xdr:colOff>
      <xdr:row>95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F7CF7A2-8C92-4F56-AE23-936B16121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371475</xdr:colOff>
      <xdr:row>13</xdr:row>
      <xdr:rowOff>38100</xdr:rowOff>
    </xdr:from>
    <xdr:to>
      <xdr:col>15</xdr:col>
      <xdr:colOff>153231</xdr:colOff>
      <xdr:row>19</xdr:row>
      <xdr:rowOff>181154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82E3D56-0FDF-7AE5-C557-8C58129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9175" y="2514600"/>
          <a:ext cx="5953956" cy="12860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46</xdr:row>
      <xdr:rowOff>180974</xdr:rowOff>
    </xdr:from>
    <xdr:to>
      <xdr:col>16</xdr:col>
      <xdr:colOff>438150</xdr:colOff>
      <xdr:row>68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2ADD6D-253B-4719-BFB9-FD483A41E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75</xdr:row>
      <xdr:rowOff>109536</xdr:rowOff>
    </xdr:from>
    <xdr:to>
      <xdr:col>15</xdr:col>
      <xdr:colOff>104775</xdr:colOff>
      <xdr:row>95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DD97B0-601F-4E51-ADDA-B76A4258B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361950</xdr:colOff>
      <xdr:row>1</xdr:row>
      <xdr:rowOff>47625</xdr:rowOff>
    </xdr:from>
    <xdr:to>
      <xdr:col>12</xdr:col>
      <xdr:colOff>48048</xdr:colOff>
      <xdr:row>36</xdr:row>
      <xdr:rowOff>181924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40A845C-1A22-2923-F5D8-D174B3D48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9650" y="238125"/>
          <a:ext cx="3029373" cy="68017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1228725</xdr:colOff>
      <xdr:row>4</xdr:row>
      <xdr:rowOff>142875</xdr:rowOff>
    </xdr:from>
    <xdr:to>
      <xdr:col>20</xdr:col>
      <xdr:colOff>562702</xdr:colOff>
      <xdr:row>11</xdr:row>
      <xdr:rowOff>152587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A4522E9-F7C5-EB0A-83BE-66D2B5AC4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39700" y="904875"/>
          <a:ext cx="5210902" cy="13432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45</xdr:row>
      <xdr:rowOff>180974</xdr:rowOff>
    </xdr:from>
    <xdr:to>
      <xdr:col>16</xdr:col>
      <xdr:colOff>438150</xdr:colOff>
      <xdr:row>67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BBB5ED5-12B6-4F59-8F62-6A44CD09F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74</xdr:row>
      <xdr:rowOff>109536</xdr:rowOff>
    </xdr:from>
    <xdr:to>
      <xdr:col>15</xdr:col>
      <xdr:colOff>514350</xdr:colOff>
      <xdr:row>94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5B9F844-20AD-4EFD-92F8-5CD361B9F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17</xdr:col>
      <xdr:colOff>10381</xdr:colOff>
      <xdr:row>16</xdr:row>
      <xdr:rowOff>9712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3A66AC3-1620-647C-8A12-0B939ED02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34525" y="1714500"/>
          <a:ext cx="6134956" cy="13432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45</xdr:row>
      <xdr:rowOff>180974</xdr:rowOff>
    </xdr:from>
    <xdr:to>
      <xdr:col>16</xdr:col>
      <xdr:colOff>438150</xdr:colOff>
      <xdr:row>67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9EDDAF6-0CDD-4CC7-BAA4-4EC1CC196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74</xdr:row>
      <xdr:rowOff>109536</xdr:rowOff>
    </xdr:from>
    <xdr:to>
      <xdr:col>15</xdr:col>
      <xdr:colOff>514350</xdr:colOff>
      <xdr:row>94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907C667-4966-4D50-B35E-4CBDBD483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13</xdr:col>
      <xdr:colOff>238967</xdr:colOff>
      <xdr:row>15</xdr:row>
      <xdr:rowOff>95449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96CEB9F-E5DC-1F06-308A-E649C9BC7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8100" y="1524000"/>
          <a:ext cx="6030167" cy="14289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581024</xdr:colOff>
      <xdr:row>46</xdr:row>
      <xdr:rowOff>180974</xdr:rowOff>
    </xdr:from>
    <xdr:to>
      <xdr:col>17</xdr:col>
      <xdr:colOff>323850</xdr:colOff>
      <xdr:row>68</xdr:row>
      <xdr:rowOff>76199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E0D7B75-5317-4AA6-852D-799EE475F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890586</xdr:colOff>
      <xdr:row>74</xdr:row>
      <xdr:rowOff>185736</xdr:rowOff>
    </xdr:from>
    <xdr:to>
      <xdr:col>17</xdr:col>
      <xdr:colOff>219075</xdr:colOff>
      <xdr:row>94</xdr:row>
      <xdr:rowOff>114299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0FE4900-0572-497B-9F1B-4994B702D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1019175</xdr:colOff>
      <xdr:row>0</xdr:row>
      <xdr:rowOff>104775</xdr:rowOff>
    </xdr:from>
    <xdr:to>
      <xdr:col>12</xdr:col>
      <xdr:colOff>924381</xdr:colOff>
      <xdr:row>36</xdr:row>
      <xdr:rowOff>115259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1506D85-6569-8D85-F6E2-EB3841FE0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86875" y="104775"/>
          <a:ext cx="3267531" cy="686848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22</xdr:col>
      <xdr:colOff>76914</xdr:colOff>
      <xdr:row>24</xdr:row>
      <xdr:rowOff>47818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41C4A65-EA20-E954-479C-108A56A35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7425" y="3238500"/>
          <a:ext cx="5115639" cy="138131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45</xdr:row>
      <xdr:rowOff>180974</xdr:rowOff>
    </xdr:from>
    <xdr:to>
      <xdr:col>16</xdr:col>
      <xdr:colOff>438150</xdr:colOff>
      <xdr:row>67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591CFE-4E3A-4693-8A54-F63180110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74</xdr:row>
      <xdr:rowOff>109536</xdr:rowOff>
    </xdr:from>
    <xdr:to>
      <xdr:col>15</xdr:col>
      <xdr:colOff>514350</xdr:colOff>
      <xdr:row>94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48B263D-22FE-4FFC-B7B8-3BF5401B0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180975</xdr:colOff>
      <xdr:row>11</xdr:row>
      <xdr:rowOff>95250</xdr:rowOff>
    </xdr:from>
    <xdr:to>
      <xdr:col>15</xdr:col>
      <xdr:colOff>524608</xdr:colOff>
      <xdr:row>18</xdr:row>
      <xdr:rowOff>66857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8BD41AA-2C3C-053E-754E-B304B95AB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0" y="2190750"/>
          <a:ext cx="5249008" cy="13051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45</xdr:row>
      <xdr:rowOff>180974</xdr:rowOff>
    </xdr:from>
    <xdr:to>
      <xdr:col>16</xdr:col>
      <xdr:colOff>438150</xdr:colOff>
      <xdr:row>67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C026D77-686C-4297-9861-717BC65D4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74</xdr:row>
      <xdr:rowOff>109536</xdr:rowOff>
    </xdr:from>
    <xdr:to>
      <xdr:col>15</xdr:col>
      <xdr:colOff>514350</xdr:colOff>
      <xdr:row>94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87A312E-3DFD-4243-A5D4-897EA4893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85725</xdr:colOff>
      <xdr:row>7</xdr:row>
      <xdr:rowOff>76200</xdr:rowOff>
    </xdr:from>
    <xdr:to>
      <xdr:col>15</xdr:col>
      <xdr:colOff>96113</xdr:colOff>
      <xdr:row>15</xdr:row>
      <xdr:rowOff>114518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B578AC3-20C3-C7B4-ECDC-66D63F55F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53425" y="1409700"/>
          <a:ext cx="6182588" cy="156231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46</xdr:row>
      <xdr:rowOff>180974</xdr:rowOff>
    </xdr:from>
    <xdr:to>
      <xdr:col>16</xdr:col>
      <xdr:colOff>438150</xdr:colOff>
      <xdr:row>68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81D8AB7-CFDF-4D82-9C03-7454AD154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166686</xdr:colOff>
      <xdr:row>75</xdr:row>
      <xdr:rowOff>109536</xdr:rowOff>
    </xdr:from>
    <xdr:to>
      <xdr:col>16</xdr:col>
      <xdr:colOff>28575</xdr:colOff>
      <xdr:row>95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759A419-B1EE-474A-81D5-8C2E35333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190500</xdr:colOff>
      <xdr:row>8</xdr:row>
      <xdr:rowOff>9525</xdr:rowOff>
    </xdr:from>
    <xdr:to>
      <xdr:col>15</xdr:col>
      <xdr:colOff>1033</xdr:colOff>
      <xdr:row>16</xdr:row>
      <xdr:rowOff>152633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4E3F974-9708-C1FF-C4F1-70C9A78C4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8600" y="1533525"/>
          <a:ext cx="7401958" cy="1667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C0F2-16E9-4582-AF59-A73787E824B4}">
  <dimension ref="C9:E15"/>
  <sheetViews>
    <sheetView zoomScale="160" zoomScaleNormal="160" workbookViewId="0">
      <selection activeCell="D17" sqref="D17"/>
    </sheetView>
  </sheetViews>
  <sheetFormatPr defaultRowHeight="15" x14ac:dyDescent="0.25"/>
  <cols>
    <col min="1" max="1" width="11.5703125" bestFit="1" customWidth="1"/>
    <col min="2" max="2" width="17.42578125" bestFit="1" customWidth="1"/>
    <col min="3" max="3" width="16.28515625" customWidth="1"/>
    <col min="4" max="4" width="17.42578125" bestFit="1" customWidth="1"/>
    <col min="5" max="5" width="19.7109375" bestFit="1" customWidth="1"/>
  </cols>
  <sheetData>
    <row r="9" spans="3:5" x14ac:dyDescent="0.25">
      <c r="C9" s="4"/>
      <c r="D9" s="4" t="s">
        <v>41</v>
      </c>
      <c r="E9" s="4" t="s">
        <v>42</v>
      </c>
    </row>
    <row r="10" spans="3:5" x14ac:dyDescent="0.25">
      <c r="C10" s="4" t="s">
        <v>30</v>
      </c>
      <c r="D10" s="6">
        <v>5</v>
      </c>
      <c r="E10" s="1">
        <v>3</v>
      </c>
    </row>
    <row r="11" spans="3:5" x14ac:dyDescent="0.25">
      <c r="C11" s="4" t="s">
        <v>14</v>
      </c>
      <c r="D11" s="1">
        <v>2</v>
      </c>
      <c r="E11" s="5">
        <v>5</v>
      </c>
    </row>
    <row r="12" spans="3:5" x14ac:dyDescent="0.25">
      <c r="C12" s="4" t="s">
        <v>21</v>
      </c>
      <c r="D12" s="1">
        <v>3</v>
      </c>
      <c r="E12" s="1">
        <v>2</v>
      </c>
    </row>
    <row r="13" spans="3:5" x14ac:dyDescent="0.25">
      <c r="C13" s="4" t="s">
        <v>31</v>
      </c>
      <c r="D13" s="1">
        <v>3</v>
      </c>
      <c r="E13" s="5">
        <v>5</v>
      </c>
    </row>
    <row r="14" spans="3:5" x14ac:dyDescent="0.25">
      <c r="C14" s="4" t="s">
        <v>16</v>
      </c>
      <c r="D14" s="6">
        <v>5</v>
      </c>
      <c r="E14" s="1">
        <v>4</v>
      </c>
    </row>
    <row r="15" spans="3:5" x14ac:dyDescent="0.25">
      <c r="C15" s="4" t="s">
        <v>26</v>
      </c>
      <c r="D15" s="1">
        <v>2</v>
      </c>
      <c r="E15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33F0-3E5A-46DE-BF18-4E4DB8422031}">
  <dimension ref="A1:P72"/>
  <sheetViews>
    <sheetView topLeftCell="B22" workbookViewId="0">
      <selection sqref="A1:XFD1048576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SUM(B3:B7)</f>
        <v>57</v>
      </c>
    </row>
    <row r="3" spans="1:8" x14ac:dyDescent="0.25">
      <c r="A3">
        <v>2019</v>
      </c>
      <c r="B3">
        <v>13</v>
      </c>
      <c r="C3">
        <v>661.39</v>
      </c>
      <c r="D3">
        <v>75022732.299999997</v>
      </c>
      <c r="E3">
        <v>13227829.07</v>
      </c>
      <c r="F3">
        <v>88250561.370000005</v>
      </c>
      <c r="G3">
        <v>284.45</v>
      </c>
    </row>
    <row r="4" spans="1:8" x14ac:dyDescent="0.25">
      <c r="A4">
        <v>2020</v>
      </c>
      <c r="B4">
        <v>17</v>
      </c>
      <c r="C4">
        <v>805.9</v>
      </c>
      <c r="D4">
        <v>75022732.299999997</v>
      </c>
      <c r="E4">
        <v>16117945.779999999</v>
      </c>
      <c r="F4">
        <v>91140678.079999998</v>
      </c>
      <c r="G4">
        <v>293.77</v>
      </c>
    </row>
    <row r="5" spans="1:8" x14ac:dyDescent="0.25">
      <c r="A5">
        <v>2021</v>
      </c>
      <c r="B5">
        <v>4</v>
      </c>
      <c r="C5">
        <v>13.42</v>
      </c>
      <c r="D5">
        <v>75022732.299999997</v>
      </c>
      <c r="E5">
        <v>268382.31</v>
      </c>
      <c r="F5">
        <v>75291114.609999999</v>
      </c>
      <c r="G5">
        <v>242.68</v>
      </c>
    </row>
    <row r="6" spans="1:8" x14ac:dyDescent="0.25">
      <c r="A6">
        <v>2022</v>
      </c>
      <c r="B6">
        <v>14</v>
      </c>
      <c r="C6">
        <v>586.89</v>
      </c>
      <c r="D6">
        <v>75022732.299999997</v>
      </c>
      <c r="E6">
        <v>11737760.710000001</v>
      </c>
      <c r="F6">
        <v>86760493.010000005</v>
      </c>
      <c r="G6">
        <v>279.64999999999998</v>
      </c>
    </row>
    <row r="7" spans="1:8" x14ac:dyDescent="0.25">
      <c r="A7">
        <v>2023</v>
      </c>
      <c r="B7">
        <v>9</v>
      </c>
      <c r="C7">
        <v>359.39</v>
      </c>
      <c r="D7">
        <v>75022732.299999997</v>
      </c>
      <c r="E7">
        <v>7187807.1100000003</v>
      </c>
      <c r="F7">
        <v>82210539.409999996</v>
      </c>
      <c r="G7">
        <v>264.98</v>
      </c>
    </row>
    <row r="8" spans="1:8" x14ac:dyDescent="0.25">
      <c r="A8">
        <v>2024</v>
      </c>
      <c r="B8">
        <v>23</v>
      </c>
      <c r="C8">
        <v>1118.3800000000001</v>
      </c>
      <c r="D8">
        <v>75022732.299999997</v>
      </c>
      <c r="E8">
        <v>22367696.530000001</v>
      </c>
      <c r="F8">
        <v>97390428.829999998</v>
      </c>
      <c r="G8">
        <v>313.91000000000003</v>
      </c>
    </row>
    <row r="10" spans="1:8" x14ac:dyDescent="0.25">
      <c r="A10" s="2" t="s">
        <v>8</v>
      </c>
      <c r="B10" s="2"/>
      <c r="C10" s="2"/>
      <c r="D10" s="2"/>
      <c r="E10" s="2"/>
      <c r="F10" s="2"/>
      <c r="G10" s="2"/>
    </row>
    <row r="11" spans="1: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>
        <f>SUM(B12:B17)</f>
        <v>87</v>
      </c>
    </row>
    <row r="12" spans="1:8" x14ac:dyDescent="0.25">
      <c r="A12">
        <v>2019</v>
      </c>
      <c r="B12">
        <v>14</v>
      </c>
      <c r="C12">
        <v>658.74</v>
      </c>
      <c r="D12">
        <v>73849557.730000004</v>
      </c>
      <c r="E12">
        <v>13174789.82</v>
      </c>
      <c r="F12">
        <v>87024347.549999997</v>
      </c>
      <c r="G12">
        <v>280.5</v>
      </c>
    </row>
    <row r="13" spans="1:8" x14ac:dyDescent="0.25">
      <c r="A13">
        <v>2020</v>
      </c>
      <c r="B13">
        <v>18</v>
      </c>
      <c r="C13">
        <v>786.73</v>
      </c>
      <c r="D13">
        <v>73849557.730000004</v>
      </c>
      <c r="E13">
        <v>15734545.869999999</v>
      </c>
      <c r="F13">
        <v>89584103.590000004</v>
      </c>
      <c r="G13">
        <v>288.75</v>
      </c>
    </row>
    <row r="14" spans="1:8" x14ac:dyDescent="0.25">
      <c r="A14">
        <v>2021</v>
      </c>
      <c r="B14">
        <v>2</v>
      </c>
      <c r="C14">
        <v>84.48</v>
      </c>
      <c r="D14">
        <v>73849557.730000004</v>
      </c>
      <c r="E14">
        <v>1689515.11</v>
      </c>
      <c r="F14">
        <v>75539072.840000004</v>
      </c>
      <c r="G14">
        <v>243.48</v>
      </c>
    </row>
    <row r="15" spans="1:8" x14ac:dyDescent="0.25">
      <c r="A15">
        <v>2022</v>
      </c>
      <c r="B15">
        <v>15</v>
      </c>
      <c r="C15">
        <v>639.61</v>
      </c>
      <c r="D15">
        <v>73849557.730000004</v>
      </c>
      <c r="E15">
        <v>12792182.130000001</v>
      </c>
      <c r="F15">
        <v>86641739.859999999</v>
      </c>
      <c r="G15">
        <v>279.26</v>
      </c>
    </row>
    <row r="16" spans="1:8" x14ac:dyDescent="0.25">
      <c r="A16">
        <v>2023</v>
      </c>
      <c r="B16">
        <v>10</v>
      </c>
      <c r="C16">
        <v>507.6</v>
      </c>
      <c r="D16">
        <v>73849557.730000004</v>
      </c>
      <c r="E16">
        <v>10151950.710000001</v>
      </c>
      <c r="F16">
        <v>84001508.439999998</v>
      </c>
      <c r="G16">
        <v>270.75</v>
      </c>
    </row>
    <row r="17" spans="1:8" x14ac:dyDescent="0.25">
      <c r="A17">
        <v>2024</v>
      </c>
      <c r="B17">
        <v>28</v>
      </c>
      <c r="C17">
        <v>1231.26</v>
      </c>
      <c r="D17">
        <v>73849557.730000004</v>
      </c>
      <c r="E17">
        <v>24625144.489999998</v>
      </c>
      <c r="F17">
        <v>98474702.219999999</v>
      </c>
      <c r="G17">
        <v>317.39999999999998</v>
      </c>
    </row>
    <row r="20" spans="1:8" x14ac:dyDescent="0.25">
      <c r="A20" s="2" t="s">
        <v>9</v>
      </c>
      <c r="B20" s="2"/>
      <c r="C20" s="2"/>
      <c r="D20" s="2"/>
      <c r="E20" s="2"/>
      <c r="F20" s="2"/>
      <c r="G20" s="2"/>
    </row>
    <row r="21" spans="1: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>
        <f>SUM(B22:B27)</f>
        <v>109</v>
      </c>
    </row>
    <row r="22" spans="1:8" x14ac:dyDescent="0.25">
      <c r="A22">
        <v>2019</v>
      </c>
      <c r="B22">
        <v>17</v>
      </c>
      <c r="C22">
        <v>727.27</v>
      </c>
      <c r="D22">
        <v>72255432.049999997</v>
      </c>
      <c r="E22">
        <v>14545323.109999999</v>
      </c>
      <c r="F22">
        <v>86800755.159999996</v>
      </c>
      <c r="G22">
        <v>279.77999999999997</v>
      </c>
    </row>
    <row r="23" spans="1:8" x14ac:dyDescent="0.25">
      <c r="A23">
        <v>2020</v>
      </c>
      <c r="B23">
        <v>22</v>
      </c>
      <c r="C23">
        <v>900.51</v>
      </c>
      <c r="D23">
        <v>72255432.049999997</v>
      </c>
      <c r="E23">
        <v>18010238.359999999</v>
      </c>
      <c r="F23">
        <v>90265670.400000006</v>
      </c>
      <c r="G23">
        <v>290.94</v>
      </c>
    </row>
    <row r="24" spans="1:8" x14ac:dyDescent="0.25">
      <c r="A24">
        <v>2021</v>
      </c>
      <c r="B24">
        <v>7</v>
      </c>
      <c r="C24">
        <v>165.56</v>
      </c>
      <c r="D24">
        <v>72255432.049999997</v>
      </c>
      <c r="E24">
        <v>3311148.98</v>
      </c>
      <c r="F24">
        <v>75566581.019999996</v>
      </c>
      <c r="G24">
        <v>243.57</v>
      </c>
    </row>
    <row r="25" spans="1:8" x14ac:dyDescent="0.25">
      <c r="A25">
        <v>2022</v>
      </c>
      <c r="B25">
        <v>18</v>
      </c>
      <c r="C25">
        <v>763.37</v>
      </c>
      <c r="D25">
        <v>72255432.049999997</v>
      </c>
      <c r="E25">
        <v>15267366.98</v>
      </c>
      <c r="F25">
        <v>87522799.019999996</v>
      </c>
      <c r="G25">
        <v>282.10000000000002</v>
      </c>
    </row>
    <row r="26" spans="1:8" x14ac:dyDescent="0.25">
      <c r="A26">
        <v>2023</v>
      </c>
      <c r="B26">
        <v>15</v>
      </c>
      <c r="C26">
        <v>705.92</v>
      </c>
      <c r="D26">
        <v>72255432.049999997</v>
      </c>
      <c r="E26">
        <v>14118389.51</v>
      </c>
      <c r="F26">
        <v>86373821.560000002</v>
      </c>
      <c r="G26">
        <v>278.39999999999998</v>
      </c>
    </row>
    <row r="27" spans="1:8" x14ac:dyDescent="0.25">
      <c r="A27">
        <v>2024</v>
      </c>
      <c r="B27">
        <v>30</v>
      </c>
      <c r="C27">
        <v>1387.43</v>
      </c>
      <c r="D27">
        <v>72255432.049999997</v>
      </c>
      <c r="E27">
        <v>27748586.309999999</v>
      </c>
      <c r="F27">
        <v>100004018.36</v>
      </c>
      <c r="G27">
        <v>322.33</v>
      </c>
    </row>
    <row r="31" spans="1:8" x14ac:dyDescent="0.25">
      <c r="A31" s="2" t="s">
        <v>10</v>
      </c>
      <c r="B31" s="2"/>
      <c r="C31" s="2"/>
      <c r="D31" s="2"/>
      <c r="E31" s="2"/>
      <c r="F31" s="2"/>
      <c r="G31" s="2"/>
    </row>
    <row r="32" spans="1: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>
        <f>SUM(B33:B38)</f>
        <v>100</v>
      </c>
    </row>
    <row r="33" spans="1:16" x14ac:dyDescent="0.25">
      <c r="A33">
        <v>2019</v>
      </c>
      <c r="B33">
        <v>15</v>
      </c>
      <c r="C33">
        <v>748.97</v>
      </c>
      <c r="D33">
        <v>72464911.870000005</v>
      </c>
      <c r="E33">
        <v>14979454.529999999</v>
      </c>
      <c r="F33">
        <v>87444366.400000006</v>
      </c>
      <c r="G33">
        <v>281.85000000000002</v>
      </c>
    </row>
    <row r="34" spans="1:16" x14ac:dyDescent="0.25">
      <c r="A34">
        <v>2020</v>
      </c>
      <c r="B34">
        <v>23</v>
      </c>
      <c r="C34">
        <v>952.42</v>
      </c>
      <c r="D34">
        <v>72464911.870000005</v>
      </c>
      <c r="E34">
        <v>19048401.82</v>
      </c>
      <c r="F34">
        <v>91513313.689999998</v>
      </c>
      <c r="G34">
        <v>294.97000000000003</v>
      </c>
    </row>
    <row r="35" spans="1:16" x14ac:dyDescent="0.25">
      <c r="A35">
        <v>2021</v>
      </c>
      <c r="B35">
        <v>4</v>
      </c>
      <c r="C35">
        <v>136.97999999999999</v>
      </c>
      <c r="D35">
        <v>72464911.870000005</v>
      </c>
      <c r="E35">
        <v>2739514</v>
      </c>
      <c r="F35">
        <v>75204425.870000005</v>
      </c>
      <c r="G35">
        <v>242.4</v>
      </c>
    </row>
    <row r="36" spans="1:16" x14ac:dyDescent="0.25">
      <c r="A36">
        <v>2022</v>
      </c>
      <c r="B36">
        <v>16</v>
      </c>
      <c r="C36">
        <v>716.78</v>
      </c>
      <c r="D36">
        <v>72464911.870000005</v>
      </c>
      <c r="E36">
        <v>14335545.869999999</v>
      </c>
      <c r="F36">
        <v>86800457.739999995</v>
      </c>
      <c r="G36">
        <v>279.77999999999997</v>
      </c>
    </row>
    <row r="37" spans="1:16" x14ac:dyDescent="0.25">
      <c r="A37">
        <v>2023</v>
      </c>
      <c r="B37">
        <v>12</v>
      </c>
      <c r="C37">
        <v>629.94000000000005</v>
      </c>
      <c r="D37">
        <v>72464911.870000005</v>
      </c>
      <c r="E37">
        <v>12598850</v>
      </c>
      <c r="F37">
        <v>85063761.870000005</v>
      </c>
      <c r="G37">
        <v>274.18</v>
      </c>
    </row>
    <row r="38" spans="1:16" x14ac:dyDescent="0.25">
      <c r="A38">
        <v>2024</v>
      </c>
      <c r="B38">
        <v>30</v>
      </c>
      <c r="C38">
        <v>1319.31</v>
      </c>
      <c r="D38">
        <v>72464911.870000005</v>
      </c>
      <c r="E38">
        <v>26386173.600000001</v>
      </c>
      <c r="F38">
        <v>98851085.469999999</v>
      </c>
      <c r="G38">
        <v>318.62</v>
      </c>
    </row>
    <row r="39" spans="1:16" x14ac:dyDescent="0.25">
      <c r="K39" t="s">
        <v>13</v>
      </c>
      <c r="L39" t="s">
        <v>14</v>
      </c>
      <c r="M39" t="s">
        <v>21</v>
      </c>
      <c r="N39" t="s">
        <v>27</v>
      </c>
      <c r="O39" t="s">
        <v>16</v>
      </c>
      <c r="P39" t="s">
        <v>26</v>
      </c>
    </row>
    <row r="40" spans="1:16" x14ac:dyDescent="0.25">
      <c r="A40" s="2" t="s">
        <v>11</v>
      </c>
      <c r="B40" s="2"/>
      <c r="C40" s="2"/>
      <c r="D40" s="2"/>
      <c r="E40" s="2"/>
      <c r="F40" s="2"/>
      <c r="G40" s="2"/>
      <c r="J40">
        <v>2019</v>
      </c>
      <c r="K40" s="1">
        <f>B3</f>
        <v>13</v>
      </c>
      <c r="L40" s="1">
        <f>B12</f>
        <v>14</v>
      </c>
      <c r="M40" s="1">
        <f>B22</f>
        <v>17</v>
      </c>
      <c r="N40">
        <f>B33</f>
        <v>15</v>
      </c>
      <c r="O40" s="1">
        <f>B42</f>
        <v>17</v>
      </c>
      <c r="P40">
        <f t="shared" ref="P40:P45" si="0">B52</f>
        <v>13</v>
      </c>
    </row>
    <row r="41" spans="1:16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>
        <f>SUM(B42:B47)</f>
        <v>109</v>
      </c>
      <c r="J41">
        <v>2020</v>
      </c>
      <c r="K41" s="1">
        <f t="shared" ref="K41:K45" si="1">B4</f>
        <v>17</v>
      </c>
      <c r="L41" s="1">
        <f t="shared" ref="L41:L45" si="2">B13</f>
        <v>18</v>
      </c>
      <c r="M41" s="1">
        <f t="shared" ref="M41:M45" si="3">B23</f>
        <v>22</v>
      </c>
      <c r="N41">
        <f t="shared" ref="N41:N45" si="4">B34</f>
        <v>23</v>
      </c>
      <c r="O41" s="1">
        <f t="shared" ref="O41:O45" si="5">B43</f>
        <v>22</v>
      </c>
      <c r="P41">
        <f t="shared" si="0"/>
        <v>17</v>
      </c>
    </row>
    <row r="42" spans="1:16" x14ac:dyDescent="0.25">
      <c r="A42">
        <v>2019</v>
      </c>
      <c r="B42">
        <v>17</v>
      </c>
      <c r="C42">
        <v>727.27</v>
      </c>
      <c r="D42">
        <v>72255432.049999997</v>
      </c>
      <c r="E42">
        <v>14545323.109999999</v>
      </c>
      <c r="F42">
        <v>86800755.159999996</v>
      </c>
      <c r="G42">
        <v>279.77999999999997</v>
      </c>
      <c r="J42">
        <v>2021</v>
      </c>
      <c r="K42" s="1">
        <f t="shared" si="1"/>
        <v>4</v>
      </c>
      <c r="L42" s="1">
        <f t="shared" si="2"/>
        <v>2</v>
      </c>
      <c r="M42" s="1">
        <f t="shared" si="3"/>
        <v>7</v>
      </c>
      <c r="N42">
        <f t="shared" si="4"/>
        <v>4</v>
      </c>
      <c r="O42" s="1">
        <f t="shared" si="5"/>
        <v>7</v>
      </c>
      <c r="P42">
        <f t="shared" si="0"/>
        <v>4</v>
      </c>
    </row>
    <row r="43" spans="1:16" x14ac:dyDescent="0.25">
      <c r="A43">
        <v>2020</v>
      </c>
      <c r="B43">
        <v>22</v>
      </c>
      <c r="C43">
        <v>900.51</v>
      </c>
      <c r="D43">
        <v>72255432.049999997</v>
      </c>
      <c r="E43">
        <v>18010238.359999999</v>
      </c>
      <c r="F43">
        <v>90265670.400000006</v>
      </c>
      <c r="G43">
        <v>290.94</v>
      </c>
      <c r="J43">
        <v>2022</v>
      </c>
      <c r="K43" s="1">
        <f t="shared" si="1"/>
        <v>14</v>
      </c>
      <c r="L43" s="1">
        <f t="shared" si="2"/>
        <v>15</v>
      </c>
      <c r="M43" s="1">
        <f t="shared" si="3"/>
        <v>18</v>
      </c>
      <c r="N43">
        <f t="shared" si="4"/>
        <v>16</v>
      </c>
      <c r="O43" s="1">
        <f t="shared" si="5"/>
        <v>18</v>
      </c>
      <c r="P43">
        <f t="shared" si="0"/>
        <v>14</v>
      </c>
    </row>
    <row r="44" spans="1:16" x14ac:dyDescent="0.25">
      <c r="A44">
        <v>2021</v>
      </c>
      <c r="B44">
        <v>7</v>
      </c>
      <c r="C44">
        <v>165.56</v>
      </c>
      <c r="D44">
        <v>72255432.049999997</v>
      </c>
      <c r="E44">
        <v>3311148.98</v>
      </c>
      <c r="F44">
        <v>75566581.019999996</v>
      </c>
      <c r="G44">
        <v>243.57</v>
      </c>
      <c r="J44">
        <v>2023</v>
      </c>
      <c r="K44" s="1">
        <f t="shared" si="1"/>
        <v>9</v>
      </c>
      <c r="L44" s="1">
        <f t="shared" si="2"/>
        <v>10</v>
      </c>
      <c r="M44" s="1">
        <f t="shared" si="3"/>
        <v>15</v>
      </c>
      <c r="N44">
        <f t="shared" si="4"/>
        <v>12</v>
      </c>
      <c r="O44" s="1">
        <f t="shared" si="5"/>
        <v>15</v>
      </c>
      <c r="P44">
        <f t="shared" si="0"/>
        <v>9</v>
      </c>
    </row>
    <row r="45" spans="1:16" x14ac:dyDescent="0.25">
      <c r="A45">
        <v>2022</v>
      </c>
      <c r="B45">
        <v>18</v>
      </c>
      <c r="C45">
        <v>763.37</v>
      </c>
      <c r="D45">
        <v>72255432.049999997</v>
      </c>
      <c r="E45">
        <v>15267366.98</v>
      </c>
      <c r="F45">
        <v>87522799.019999996</v>
      </c>
      <c r="G45">
        <v>282.10000000000002</v>
      </c>
      <c r="J45">
        <v>2024</v>
      </c>
      <c r="K45" s="1">
        <f t="shared" si="1"/>
        <v>23</v>
      </c>
      <c r="L45" s="1">
        <f t="shared" si="2"/>
        <v>28</v>
      </c>
      <c r="M45" s="1">
        <f t="shared" si="3"/>
        <v>30</v>
      </c>
      <c r="N45">
        <f t="shared" si="4"/>
        <v>30</v>
      </c>
      <c r="O45" s="1">
        <f t="shared" si="5"/>
        <v>30</v>
      </c>
      <c r="P45">
        <f t="shared" si="0"/>
        <v>23</v>
      </c>
    </row>
    <row r="46" spans="1:16" x14ac:dyDescent="0.25">
      <c r="A46">
        <v>2023</v>
      </c>
      <c r="B46">
        <v>15</v>
      </c>
      <c r="C46">
        <v>705.92</v>
      </c>
      <c r="D46">
        <v>72255432.049999997</v>
      </c>
      <c r="E46">
        <v>14118389.51</v>
      </c>
      <c r="F46">
        <v>86373821.560000002</v>
      </c>
      <c r="G46">
        <v>278.39999999999998</v>
      </c>
    </row>
    <row r="47" spans="1:16" x14ac:dyDescent="0.25">
      <c r="A47">
        <v>2024</v>
      </c>
      <c r="B47">
        <v>30</v>
      </c>
      <c r="C47">
        <v>1387.43</v>
      </c>
      <c r="D47">
        <v>72255432.049999997</v>
      </c>
      <c r="E47">
        <v>27748586.309999999</v>
      </c>
      <c r="F47">
        <v>100004018.36</v>
      </c>
      <c r="G47">
        <v>322.33</v>
      </c>
    </row>
    <row r="50" spans="1:8" x14ac:dyDescent="0.25">
      <c r="A50" s="2" t="s">
        <v>12</v>
      </c>
      <c r="B50" s="2"/>
      <c r="C50" s="2"/>
      <c r="D50" s="2"/>
      <c r="E50" s="2"/>
      <c r="F50" s="2"/>
      <c r="G50" s="2"/>
    </row>
    <row r="51" spans="1: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>
        <f>SUM(B52:B57)</f>
        <v>80</v>
      </c>
    </row>
    <row r="52" spans="1:8" x14ac:dyDescent="0.25">
      <c r="A52">
        <v>2019</v>
      </c>
      <c r="B52">
        <v>13</v>
      </c>
      <c r="C52">
        <v>661.39</v>
      </c>
      <c r="D52">
        <v>75022732.299999997</v>
      </c>
      <c r="E52">
        <v>13227829.07</v>
      </c>
      <c r="F52">
        <v>88250561.370000005</v>
      </c>
      <c r="G52">
        <v>284.45</v>
      </c>
    </row>
    <row r="53" spans="1:8" x14ac:dyDescent="0.25">
      <c r="A53">
        <v>2020</v>
      </c>
      <c r="B53">
        <v>17</v>
      </c>
      <c r="C53">
        <v>805.9</v>
      </c>
      <c r="D53">
        <v>75022732.299999997</v>
      </c>
      <c r="E53">
        <v>16117945.779999999</v>
      </c>
      <c r="F53">
        <v>91140678.079999998</v>
      </c>
      <c r="G53">
        <v>293.77</v>
      </c>
    </row>
    <row r="54" spans="1:8" x14ac:dyDescent="0.25">
      <c r="A54">
        <v>2021</v>
      </c>
      <c r="B54">
        <v>4</v>
      </c>
      <c r="C54">
        <v>13.42</v>
      </c>
      <c r="D54">
        <v>75022732.299999997</v>
      </c>
      <c r="E54">
        <v>268382.31</v>
      </c>
      <c r="F54">
        <v>75291114.609999999</v>
      </c>
      <c r="G54">
        <v>242.68</v>
      </c>
    </row>
    <row r="55" spans="1:8" x14ac:dyDescent="0.25">
      <c r="A55">
        <v>2022</v>
      </c>
      <c r="B55">
        <v>14</v>
      </c>
      <c r="C55">
        <v>586.89</v>
      </c>
      <c r="D55">
        <v>75022732.299999997</v>
      </c>
      <c r="E55">
        <v>11737760.710000001</v>
      </c>
      <c r="F55">
        <v>86760493.010000005</v>
      </c>
      <c r="G55">
        <v>279.64999999999998</v>
      </c>
    </row>
    <row r="56" spans="1:8" x14ac:dyDescent="0.25">
      <c r="A56">
        <v>2023</v>
      </c>
      <c r="B56">
        <v>9</v>
      </c>
      <c r="C56">
        <v>359.39</v>
      </c>
      <c r="D56">
        <v>75022732.299999997</v>
      </c>
      <c r="E56">
        <v>7187807.1100000003</v>
      </c>
      <c r="F56">
        <v>82210539.409999996</v>
      </c>
      <c r="G56">
        <v>264.98</v>
      </c>
    </row>
    <row r="57" spans="1:8" x14ac:dyDescent="0.25">
      <c r="A57">
        <v>2024</v>
      </c>
      <c r="B57">
        <v>23</v>
      </c>
      <c r="C57">
        <v>1118.3800000000001</v>
      </c>
      <c r="D57">
        <v>75022732.299999997</v>
      </c>
      <c r="E57">
        <v>22367696.530000001</v>
      </c>
      <c r="F57">
        <v>97390428.829999998</v>
      </c>
      <c r="G57">
        <v>313.91000000000003</v>
      </c>
    </row>
    <row r="71" spans="10:16" x14ac:dyDescent="0.25">
      <c r="K71" t="s">
        <v>30</v>
      </c>
      <c r="L71" t="s">
        <v>14</v>
      </c>
      <c r="M71" t="s">
        <v>21</v>
      </c>
      <c r="N71" t="s">
        <v>31</v>
      </c>
      <c r="O71" t="s">
        <v>16</v>
      </c>
      <c r="P71" t="s">
        <v>26</v>
      </c>
    </row>
    <row r="72" spans="10:16" x14ac:dyDescent="0.25">
      <c r="J72" t="s">
        <v>18</v>
      </c>
      <c r="K72" s="1">
        <f t="shared" ref="K72:O72" si="6">SUM(K40:K45)</f>
        <v>80</v>
      </c>
      <c r="L72" s="1">
        <f t="shared" si="6"/>
        <v>87</v>
      </c>
      <c r="M72" s="1">
        <f t="shared" si="6"/>
        <v>109</v>
      </c>
      <c r="N72" s="1">
        <f t="shared" si="6"/>
        <v>100</v>
      </c>
      <c r="O72" s="1">
        <f t="shared" si="6"/>
        <v>109</v>
      </c>
      <c r="P72" s="1">
        <f>SUM(P40:P45)</f>
        <v>80</v>
      </c>
    </row>
  </sheetData>
  <mergeCells count="6">
    <mergeCell ref="A50:G50"/>
    <mergeCell ref="A1:G1"/>
    <mergeCell ref="A10:G10"/>
    <mergeCell ref="A20:G20"/>
    <mergeCell ref="A31:G31"/>
    <mergeCell ref="A40:G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opLeftCell="A31" workbookViewId="0">
      <selection activeCell="M78" sqref="M78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1.5703125" bestFit="1" customWidth="1"/>
    <col min="12" max="12" width="9.57031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172</v>
      </c>
    </row>
    <row r="3" spans="1:8" x14ac:dyDescent="0.25">
      <c r="A3" s="1">
        <v>2019</v>
      </c>
      <c r="B3" s="1">
        <v>22</v>
      </c>
      <c r="C3" s="1">
        <v>879.62</v>
      </c>
      <c r="D3" s="1">
        <v>81571673.409999996</v>
      </c>
      <c r="E3" s="1">
        <v>17592422.760000002</v>
      </c>
      <c r="F3" s="1">
        <v>99164096.159999996</v>
      </c>
      <c r="G3" s="1">
        <v>319.63</v>
      </c>
    </row>
    <row r="4" spans="1:8" x14ac:dyDescent="0.25">
      <c r="A4" s="1">
        <v>2020</v>
      </c>
      <c r="B4" s="1">
        <v>51</v>
      </c>
      <c r="C4" s="1">
        <v>2630.55</v>
      </c>
      <c r="D4" s="1">
        <v>81571673.409999996</v>
      </c>
      <c r="E4" s="1">
        <v>52611073.07</v>
      </c>
      <c r="F4" s="1">
        <v>134182746.47</v>
      </c>
      <c r="G4" s="1">
        <v>432.5</v>
      </c>
    </row>
    <row r="5" spans="1:8" x14ac:dyDescent="0.25">
      <c r="A5" s="1">
        <v>2021</v>
      </c>
      <c r="B5" s="1">
        <v>6</v>
      </c>
      <c r="C5" s="1">
        <v>262.19</v>
      </c>
      <c r="D5" s="1">
        <v>81571673.409999996</v>
      </c>
      <c r="E5" s="1">
        <v>5243775.82</v>
      </c>
      <c r="F5" s="1">
        <v>86815449.230000004</v>
      </c>
      <c r="G5" s="1">
        <v>279.82</v>
      </c>
    </row>
    <row r="6" spans="1:8" x14ac:dyDescent="0.25">
      <c r="A6" s="1">
        <v>2022</v>
      </c>
      <c r="B6" s="1">
        <v>18</v>
      </c>
      <c r="C6" s="1">
        <v>900.98</v>
      </c>
      <c r="D6" s="1">
        <v>81571673.409999996</v>
      </c>
      <c r="E6" s="1">
        <v>18019600.18</v>
      </c>
      <c r="F6" s="1">
        <v>99591273.590000004</v>
      </c>
      <c r="G6" s="1">
        <v>321</v>
      </c>
    </row>
    <row r="7" spans="1:8" x14ac:dyDescent="0.25">
      <c r="A7" s="1">
        <v>2023</v>
      </c>
      <c r="B7" s="1">
        <v>27</v>
      </c>
      <c r="C7" s="1">
        <v>1698.95</v>
      </c>
      <c r="D7" s="1">
        <v>81571673.409999996</v>
      </c>
      <c r="E7" s="1">
        <v>33979013.509999998</v>
      </c>
      <c r="F7" s="1">
        <v>115550686.92</v>
      </c>
      <c r="G7" s="1">
        <v>372.44</v>
      </c>
    </row>
    <row r="8" spans="1:8" x14ac:dyDescent="0.25">
      <c r="A8" s="1">
        <v>2024</v>
      </c>
      <c r="B8" s="1">
        <v>48</v>
      </c>
      <c r="C8" s="1">
        <v>2299.21</v>
      </c>
      <c r="D8" s="1">
        <v>81571673.409999996</v>
      </c>
      <c r="E8" s="1">
        <v>45984291.560000002</v>
      </c>
      <c r="F8" s="1">
        <v>127555964.95999999</v>
      </c>
      <c r="G8" s="1">
        <v>411.14</v>
      </c>
    </row>
    <row r="11" spans="1:8" x14ac:dyDescent="0.25">
      <c r="A11" s="2" t="s">
        <v>8</v>
      </c>
      <c r="B11" s="2"/>
      <c r="C11" s="2"/>
      <c r="D11" s="2"/>
      <c r="E11" s="2"/>
      <c r="F11" s="2"/>
      <c r="G11" s="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>
        <f>SUM(B13:B18)</f>
        <v>133</v>
      </c>
    </row>
    <row r="13" spans="1:8" x14ac:dyDescent="0.25">
      <c r="A13" s="1">
        <v>2019</v>
      </c>
      <c r="B13" s="1">
        <v>10</v>
      </c>
      <c r="C13" s="1">
        <v>355.44</v>
      </c>
      <c r="D13" s="1">
        <v>82685689.939999998</v>
      </c>
      <c r="E13" s="1">
        <v>7108784</v>
      </c>
      <c r="F13" s="1">
        <v>89794473.939999998</v>
      </c>
      <c r="G13" s="1">
        <v>289.43</v>
      </c>
    </row>
    <row r="14" spans="1:8" x14ac:dyDescent="0.25">
      <c r="A14" s="1">
        <v>2020</v>
      </c>
      <c r="B14" s="1">
        <v>45</v>
      </c>
      <c r="C14" s="1">
        <v>2175.98</v>
      </c>
      <c r="D14" s="1">
        <v>82685689.939999998</v>
      </c>
      <c r="E14" s="1">
        <v>43519651.640000001</v>
      </c>
      <c r="F14" s="1">
        <v>126205341.59</v>
      </c>
      <c r="G14" s="1">
        <v>406.79</v>
      </c>
    </row>
    <row r="15" spans="1:8" x14ac:dyDescent="0.25">
      <c r="A15" s="1">
        <v>2021</v>
      </c>
      <c r="B15" s="1">
        <v>5</v>
      </c>
      <c r="C15" s="1">
        <v>193.57</v>
      </c>
      <c r="D15" s="1">
        <v>82685689.939999998</v>
      </c>
      <c r="E15" s="1">
        <v>3871426.18</v>
      </c>
      <c r="F15" s="1">
        <v>86557116.120000005</v>
      </c>
      <c r="G15" s="1">
        <v>278.99</v>
      </c>
    </row>
    <row r="16" spans="1:8" x14ac:dyDescent="0.25">
      <c r="A16" s="1">
        <v>2022</v>
      </c>
      <c r="B16" s="1">
        <v>15</v>
      </c>
      <c r="C16" s="1">
        <v>758.57</v>
      </c>
      <c r="D16" s="1">
        <v>82685689.939999998</v>
      </c>
      <c r="E16" s="1">
        <v>15171370.09</v>
      </c>
      <c r="F16" s="1">
        <v>97857060.030000001</v>
      </c>
      <c r="G16" s="1">
        <v>315.41000000000003</v>
      </c>
    </row>
    <row r="17" spans="1:8" x14ac:dyDescent="0.25">
      <c r="A17" s="1">
        <v>2023</v>
      </c>
      <c r="B17" s="1">
        <v>23</v>
      </c>
      <c r="C17" s="1">
        <v>1478.41</v>
      </c>
      <c r="D17" s="1">
        <v>82685689.939999998</v>
      </c>
      <c r="E17" s="1">
        <v>29568102.93</v>
      </c>
      <c r="F17" s="1">
        <v>112253792.87</v>
      </c>
      <c r="G17" s="1">
        <v>361.82</v>
      </c>
    </row>
    <row r="18" spans="1:8" x14ac:dyDescent="0.25">
      <c r="A18" s="1">
        <v>2024</v>
      </c>
      <c r="B18" s="1">
        <v>35</v>
      </c>
      <c r="C18" s="1">
        <v>1592.89</v>
      </c>
      <c r="D18" s="1">
        <v>82685689.939999998</v>
      </c>
      <c r="E18" s="1">
        <v>31857835.109999999</v>
      </c>
      <c r="F18" s="1">
        <v>114543525.05</v>
      </c>
      <c r="G18" s="1">
        <v>369.2</v>
      </c>
    </row>
    <row r="21" spans="1:8" x14ac:dyDescent="0.25">
      <c r="A21" s="2" t="s">
        <v>9</v>
      </c>
      <c r="B21" s="2"/>
      <c r="C21" s="2"/>
      <c r="D21" s="2"/>
      <c r="E21" s="2"/>
      <c r="F21" s="2"/>
      <c r="G21" s="2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>
        <f>SUM(B23:B28)</f>
        <v>132</v>
      </c>
    </row>
    <row r="23" spans="1:8" x14ac:dyDescent="0.25">
      <c r="A23" s="1">
        <v>2019</v>
      </c>
      <c r="B23" s="1">
        <v>10</v>
      </c>
      <c r="C23" s="1">
        <v>401.21</v>
      </c>
      <c r="D23" s="1">
        <v>81996752.200000003</v>
      </c>
      <c r="E23" s="1">
        <v>8024208.5300000003</v>
      </c>
      <c r="F23" s="1">
        <v>90020960.730000004</v>
      </c>
      <c r="G23" s="1">
        <v>290.16000000000003</v>
      </c>
    </row>
    <row r="24" spans="1:8" x14ac:dyDescent="0.25">
      <c r="A24" s="1">
        <v>2020</v>
      </c>
      <c r="B24" s="1">
        <v>42</v>
      </c>
      <c r="C24" s="1">
        <v>2107.21</v>
      </c>
      <c r="D24" s="1">
        <v>81996752.200000003</v>
      </c>
      <c r="E24" s="1">
        <v>42144268</v>
      </c>
      <c r="F24" s="1">
        <v>124141020.2</v>
      </c>
      <c r="G24" s="1">
        <v>400.13</v>
      </c>
    </row>
    <row r="25" spans="1:8" x14ac:dyDescent="0.25">
      <c r="A25" s="1">
        <v>2021</v>
      </c>
      <c r="B25" s="1">
        <v>6</v>
      </c>
      <c r="C25" s="1">
        <v>231.62</v>
      </c>
      <c r="D25" s="1">
        <v>81996752.200000003</v>
      </c>
      <c r="E25" s="1">
        <v>4632379.82</v>
      </c>
      <c r="F25" s="1">
        <v>86629132.019999996</v>
      </c>
      <c r="G25" s="1">
        <v>279.22000000000003</v>
      </c>
    </row>
    <row r="26" spans="1:8" x14ac:dyDescent="0.25">
      <c r="A26" s="1">
        <v>2022</v>
      </c>
      <c r="B26" s="1">
        <v>17</v>
      </c>
      <c r="C26" s="1">
        <v>874.01</v>
      </c>
      <c r="D26" s="1">
        <v>81996752.200000003</v>
      </c>
      <c r="E26" s="1">
        <v>17480242.710000001</v>
      </c>
      <c r="F26" s="1">
        <v>99476994.909999996</v>
      </c>
      <c r="G26" s="1">
        <v>320.63</v>
      </c>
    </row>
    <row r="27" spans="1:8" x14ac:dyDescent="0.25">
      <c r="A27" s="1">
        <v>2023</v>
      </c>
      <c r="B27" s="1">
        <v>23</v>
      </c>
      <c r="C27" s="1">
        <v>1521.52</v>
      </c>
      <c r="D27" s="1">
        <v>81996752.200000003</v>
      </c>
      <c r="E27" s="1">
        <v>30430443.329999998</v>
      </c>
      <c r="F27" s="1">
        <v>112427195.53</v>
      </c>
      <c r="G27" s="1">
        <v>362.38</v>
      </c>
    </row>
    <row r="28" spans="1:8" x14ac:dyDescent="0.25">
      <c r="A28" s="1">
        <v>2024</v>
      </c>
      <c r="B28" s="1">
        <v>34</v>
      </c>
      <c r="C28" s="1">
        <v>1499.24</v>
      </c>
      <c r="D28" s="1">
        <v>81996752.200000003</v>
      </c>
      <c r="E28" s="1">
        <v>29984840.530000001</v>
      </c>
      <c r="F28" s="1">
        <v>111981592.73</v>
      </c>
      <c r="G28" s="1">
        <v>360.94</v>
      </c>
    </row>
    <row r="32" spans="1:8" x14ac:dyDescent="0.25">
      <c r="A32" s="2" t="s">
        <v>10</v>
      </c>
      <c r="B32" s="2"/>
      <c r="C32" s="2"/>
      <c r="D32" s="2"/>
      <c r="E32" s="2"/>
      <c r="F32" s="2"/>
      <c r="G32" s="2"/>
    </row>
    <row r="33" spans="1:15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>
        <f>SUM(B34:B39)</f>
        <v>132</v>
      </c>
    </row>
    <row r="34" spans="1:15" x14ac:dyDescent="0.25">
      <c r="A34" s="1">
        <v>2019</v>
      </c>
      <c r="B34" s="1">
        <v>10</v>
      </c>
      <c r="C34" s="1">
        <v>401.21</v>
      </c>
      <c r="D34" s="1">
        <v>81996752.200000003</v>
      </c>
      <c r="E34" s="1">
        <v>8024208.5300000003</v>
      </c>
      <c r="F34" s="1">
        <v>90020960.730000004</v>
      </c>
      <c r="G34" s="1">
        <v>290.16000000000003</v>
      </c>
    </row>
    <row r="35" spans="1:15" x14ac:dyDescent="0.25">
      <c r="A35" s="1">
        <v>2020</v>
      </c>
      <c r="B35" s="1">
        <v>42</v>
      </c>
      <c r="C35" s="1">
        <v>2107.21</v>
      </c>
      <c r="D35" s="1">
        <v>81996752.200000003</v>
      </c>
      <c r="E35" s="1">
        <v>42144268</v>
      </c>
      <c r="F35" s="1">
        <v>124141020.2</v>
      </c>
      <c r="G35" s="1">
        <v>400.13</v>
      </c>
    </row>
    <row r="36" spans="1:15" x14ac:dyDescent="0.25">
      <c r="A36" s="1">
        <v>2021</v>
      </c>
      <c r="B36" s="1">
        <v>6</v>
      </c>
      <c r="C36" s="1">
        <v>231.62</v>
      </c>
      <c r="D36" s="1">
        <v>81996752.200000003</v>
      </c>
      <c r="E36" s="1">
        <v>4632379.82</v>
      </c>
      <c r="F36" s="1">
        <v>86629132.019999996</v>
      </c>
      <c r="G36" s="1">
        <v>279.22000000000003</v>
      </c>
    </row>
    <row r="37" spans="1:15" x14ac:dyDescent="0.25">
      <c r="A37" s="1">
        <v>2022</v>
      </c>
      <c r="B37" s="1">
        <v>17</v>
      </c>
      <c r="C37" s="1">
        <v>874.01</v>
      </c>
      <c r="D37" s="1">
        <v>81996752.200000003</v>
      </c>
      <c r="E37" s="1">
        <v>17480242.710000001</v>
      </c>
      <c r="F37" s="1">
        <v>99476994.909999996</v>
      </c>
      <c r="G37" s="1">
        <v>320.63</v>
      </c>
    </row>
    <row r="38" spans="1:15" x14ac:dyDescent="0.25">
      <c r="A38" s="1">
        <v>2023</v>
      </c>
      <c r="B38" s="1">
        <v>23</v>
      </c>
      <c r="C38" s="1">
        <v>1521.52</v>
      </c>
      <c r="D38" s="1">
        <v>81996752.200000003</v>
      </c>
      <c r="E38" s="1">
        <v>30430443.329999998</v>
      </c>
      <c r="F38" s="1">
        <v>112427195.53</v>
      </c>
      <c r="G38" s="1">
        <v>362.38</v>
      </c>
    </row>
    <row r="39" spans="1:15" x14ac:dyDescent="0.25">
      <c r="A39" s="1">
        <v>2024</v>
      </c>
      <c r="B39" s="1">
        <v>34</v>
      </c>
      <c r="C39" s="1">
        <v>1499.24</v>
      </c>
      <c r="D39" s="1">
        <v>81996752.200000003</v>
      </c>
      <c r="E39" s="1">
        <v>29984840.530000001</v>
      </c>
      <c r="F39" s="1">
        <v>111981592.73</v>
      </c>
      <c r="G39" s="1">
        <v>360.94</v>
      </c>
    </row>
    <row r="40" spans="1:15" x14ac:dyDescent="0.25">
      <c r="K40" t="s">
        <v>13</v>
      </c>
      <c r="L40" t="s">
        <v>14</v>
      </c>
      <c r="M40" t="s">
        <v>15</v>
      </c>
      <c r="N40" t="s">
        <v>16</v>
      </c>
      <c r="O40" t="s">
        <v>17</v>
      </c>
    </row>
    <row r="41" spans="1:15" x14ac:dyDescent="0.25">
      <c r="A41" s="2" t="s">
        <v>11</v>
      </c>
      <c r="B41" s="2"/>
      <c r="C41" s="2"/>
      <c r="D41" s="2"/>
      <c r="E41" s="2"/>
      <c r="F41" s="2"/>
      <c r="G41" s="2"/>
      <c r="J41">
        <v>2019</v>
      </c>
      <c r="K41" s="1">
        <v>22</v>
      </c>
      <c r="L41" s="1">
        <v>10</v>
      </c>
      <c r="M41" s="1">
        <v>10</v>
      </c>
      <c r="N41" s="1">
        <v>15</v>
      </c>
      <c r="O41" s="1">
        <v>20</v>
      </c>
    </row>
    <row r="42" spans="1:1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>
        <f>SUM(B43:B48)</f>
        <v>155</v>
      </c>
      <c r="J42">
        <v>2020</v>
      </c>
      <c r="K42" s="1">
        <v>51</v>
      </c>
      <c r="L42" s="1">
        <v>45</v>
      </c>
      <c r="M42" s="1">
        <v>42</v>
      </c>
      <c r="N42" s="1">
        <v>47</v>
      </c>
      <c r="O42" s="1">
        <v>50</v>
      </c>
    </row>
    <row r="43" spans="1:15" x14ac:dyDescent="0.25">
      <c r="A43" s="1">
        <v>2019</v>
      </c>
      <c r="B43" s="1">
        <v>15</v>
      </c>
      <c r="C43" s="1">
        <v>542.97</v>
      </c>
      <c r="D43" s="1">
        <v>80685760.739999995</v>
      </c>
      <c r="E43" s="1">
        <v>10859366.76</v>
      </c>
      <c r="F43" s="1">
        <v>91545127.5</v>
      </c>
      <c r="G43" s="1">
        <v>295.07</v>
      </c>
      <c r="J43">
        <v>2021</v>
      </c>
      <c r="K43" s="1">
        <v>6</v>
      </c>
      <c r="L43" s="1">
        <v>5</v>
      </c>
      <c r="M43" s="1">
        <v>6</v>
      </c>
      <c r="N43" s="1">
        <v>6</v>
      </c>
      <c r="O43" s="1">
        <v>5</v>
      </c>
    </row>
    <row r="44" spans="1:15" x14ac:dyDescent="0.25">
      <c r="A44" s="1">
        <v>2020</v>
      </c>
      <c r="B44" s="1">
        <v>47</v>
      </c>
      <c r="C44" s="1">
        <v>2409.75</v>
      </c>
      <c r="D44" s="1">
        <v>80685760.739999995</v>
      </c>
      <c r="E44" s="1">
        <v>48194958.890000001</v>
      </c>
      <c r="F44" s="1">
        <v>128880719.63</v>
      </c>
      <c r="G44" s="1">
        <v>415.41</v>
      </c>
      <c r="J44">
        <v>2022</v>
      </c>
      <c r="K44" s="1">
        <v>18</v>
      </c>
      <c r="L44" s="1">
        <v>15</v>
      </c>
      <c r="M44" s="1">
        <v>17</v>
      </c>
      <c r="N44" s="1">
        <v>21</v>
      </c>
      <c r="O44" s="1">
        <v>16</v>
      </c>
    </row>
    <row r="45" spans="1:15" x14ac:dyDescent="0.25">
      <c r="A45" s="1">
        <v>2021</v>
      </c>
      <c r="B45" s="1">
        <v>6</v>
      </c>
      <c r="C45" s="1">
        <v>303.61</v>
      </c>
      <c r="D45" s="1">
        <v>80685760.739999995</v>
      </c>
      <c r="E45" s="1">
        <v>6072166.8899999997</v>
      </c>
      <c r="F45" s="1">
        <v>86757927.629999995</v>
      </c>
      <c r="G45" s="1">
        <v>279.64</v>
      </c>
      <c r="J45">
        <v>2023</v>
      </c>
      <c r="K45" s="1">
        <v>27</v>
      </c>
      <c r="L45" s="1">
        <v>23</v>
      </c>
      <c r="M45" s="1">
        <v>23</v>
      </c>
      <c r="N45" s="1">
        <v>25</v>
      </c>
      <c r="O45" s="1">
        <v>26</v>
      </c>
    </row>
    <row r="46" spans="1:15" x14ac:dyDescent="0.25">
      <c r="A46" s="1">
        <v>2022</v>
      </c>
      <c r="B46" s="1">
        <v>21</v>
      </c>
      <c r="C46" s="1">
        <v>1004.58</v>
      </c>
      <c r="D46" s="1">
        <v>80685760.739999995</v>
      </c>
      <c r="E46" s="1">
        <v>20091663.82</v>
      </c>
      <c r="F46" s="1">
        <v>100777424.56</v>
      </c>
      <c r="G46" s="1">
        <v>324.83</v>
      </c>
      <c r="J46">
        <v>2024</v>
      </c>
      <c r="K46" s="1">
        <v>48</v>
      </c>
      <c r="L46" s="1">
        <v>35</v>
      </c>
      <c r="M46" s="1">
        <v>34</v>
      </c>
      <c r="N46" s="1">
        <v>41</v>
      </c>
      <c r="O46" s="1">
        <v>48</v>
      </c>
    </row>
    <row r="47" spans="1:15" x14ac:dyDescent="0.25">
      <c r="A47" s="1">
        <v>2023</v>
      </c>
      <c r="B47" s="1">
        <v>25</v>
      </c>
      <c r="C47" s="1">
        <v>1633.86</v>
      </c>
      <c r="D47" s="1">
        <v>80685760.739999995</v>
      </c>
      <c r="E47" s="1">
        <v>32677231.469999999</v>
      </c>
      <c r="F47" s="1">
        <v>113362992.20999999</v>
      </c>
      <c r="G47" s="1">
        <v>365.39</v>
      </c>
    </row>
    <row r="48" spans="1:15" x14ac:dyDescent="0.25">
      <c r="A48" s="1">
        <v>2024</v>
      </c>
      <c r="B48" s="1">
        <v>41</v>
      </c>
      <c r="C48" s="1">
        <v>1942.86</v>
      </c>
      <c r="D48" s="1">
        <v>80685760.739999995</v>
      </c>
      <c r="E48" s="1">
        <v>38857217.159999996</v>
      </c>
      <c r="F48" s="1">
        <v>119542977.90000001</v>
      </c>
      <c r="G48" s="1">
        <v>385.31</v>
      </c>
    </row>
    <row r="51" spans="1:8" x14ac:dyDescent="0.25">
      <c r="A51" s="2" t="s">
        <v>12</v>
      </c>
      <c r="B51" s="2"/>
      <c r="C51" s="2"/>
      <c r="D51" s="2"/>
      <c r="E51" s="2"/>
      <c r="F51" s="2"/>
      <c r="G51" s="2"/>
    </row>
    <row r="52" spans="1: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>
        <f>SUM(B53:B58)</f>
        <v>165</v>
      </c>
    </row>
    <row r="53" spans="1:8" x14ac:dyDescent="0.25">
      <c r="A53" s="1">
        <v>2019</v>
      </c>
      <c r="B53" s="1">
        <v>20</v>
      </c>
      <c r="C53" s="1">
        <v>813.91</v>
      </c>
      <c r="D53" s="1">
        <v>82143323.209999993</v>
      </c>
      <c r="E53" s="1">
        <v>16278164.130000001</v>
      </c>
      <c r="F53" s="1">
        <v>98421487.340000004</v>
      </c>
      <c r="G53" s="1">
        <v>317.23</v>
      </c>
    </row>
    <row r="54" spans="1:8" x14ac:dyDescent="0.25">
      <c r="A54" s="1">
        <v>2020</v>
      </c>
      <c r="B54" s="1">
        <v>50</v>
      </c>
      <c r="C54" s="1">
        <v>2559.9299999999998</v>
      </c>
      <c r="D54" s="1">
        <v>82143323.209999993</v>
      </c>
      <c r="E54" s="1">
        <v>51198628.979999997</v>
      </c>
      <c r="F54" s="1">
        <v>133341952.19</v>
      </c>
      <c r="G54" s="1">
        <v>429.79</v>
      </c>
    </row>
    <row r="55" spans="1:8" x14ac:dyDescent="0.25">
      <c r="A55" s="1">
        <v>2021</v>
      </c>
      <c r="B55" s="1">
        <v>5</v>
      </c>
      <c r="C55" s="1">
        <v>236.06</v>
      </c>
      <c r="D55" s="1">
        <v>82143323.209999993</v>
      </c>
      <c r="E55" s="1">
        <v>4721228.4000000004</v>
      </c>
      <c r="F55" s="1">
        <v>86864551.609999999</v>
      </c>
      <c r="G55" s="1">
        <v>279.98</v>
      </c>
    </row>
    <row r="56" spans="1:8" x14ac:dyDescent="0.25">
      <c r="A56" s="1">
        <v>2022</v>
      </c>
      <c r="B56" s="1">
        <v>16</v>
      </c>
      <c r="C56" s="1">
        <v>855</v>
      </c>
      <c r="D56" s="1">
        <v>82143323.209999993</v>
      </c>
      <c r="E56" s="1">
        <v>17099913.600000001</v>
      </c>
      <c r="F56" s="1">
        <v>99243236.810000002</v>
      </c>
      <c r="G56" s="1">
        <v>319.88</v>
      </c>
    </row>
    <row r="57" spans="1:8" x14ac:dyDescent="0.25">
      <c r="A57" s="1">
        <v>2023</v>
      </c>
      <c r="B57" s="1">
        <v>26</v>
      </c>
      <c r="C57" s="1">
        <v>1652.02</v>
      </c>
      <c r="D57" s="1">
        <v>82143323.209999993</v>
      </c>
      <c r="E57" s="1">
        <v>33040446.27</v>
      </c>
      <c r="F57" s="1">
        <v>115183769.48</v>
      </c>
      <c r="G57" s="1">
        <v>371.26</v>
      </c>
    </row>
    <row r="58" spans="1:8" x14ac:dyDescent="0.25">
      <c r="A58" s="1">
        <v>2024</v>
      </c>
      <c r="B58" s="1">
        <v>48</v>
      </c>
      <c r="C58" s="1">
        <v>2215.5</v>
      </c>
      <c r="D58" s="1">
        <v>82143323.209999993</v>
      </c>
      <c r="E58" s="1">
        <v>44310040.310000002</v>
      </c>
      <c r="F58" s="1">
        <v>126453363.52</v>
      </c>
      <c r="G58" s="1">
        <v>407.59</v>
      </c>
    </row>
    <row r="72" spans="10:15" x14ac:dyDescent="0.25">
      <c r="K72" t="s">
        <v>30</v>
      </c>
      <c r="L72" t="s">
        <v>14</v>
      </c>
      <c r="M72" t="s">
        <v>32</v>
      </c>
      <c r="N72" t="s">
        <v>16</v>
      </c>
      <c r="O72" t="s">
        <v>17</v>
      </c>
    </row>
    <row r="73" spans="10:15" x14ac:dyDescent="0.25">
      <c r="J73" t="s">
        <v>18</v>
      </c>
      <c r="K73" s="1">
        <f>SUM(K41:K46)</f>
        <v>172</v>
      </c>
      <c r="L73" s="1">
        <f t="shared" ref="L73:O73" si="0">SUM(L41:L46)</f>
        <v>133</v>
      </c>
      <c r="M73" s="1">
        <f t="shared" si="0"/>
        <v>132</v>
      </c>
      <c r="N73" s="1">
        <f t="shared" si="0"/>
        <v>155</v>
      </c>
      <c r="O73" s="1">
        <f t="shared" si="0"/>
        <v>165</v>
      </c>
    </row>
  </sheetData>
  <mergeCells count="6">
    <mergeCell ref="A51:G51"/>
    <mergeCell ref="A1:G1"/>
    <mergeCell ref="A11:G11"/>
    <mergeCell ref="A21:G21"/>
    <mergeCell ref="A32:G32"/>
    <mergeCell ref="A41:G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2774-5E5A-428C-A15D-4BF677A69489}">
  <dimension ref="A1:P72"/>
  <sheetViews>
    <sheetView topLeftCell="A55" workbookViewId="0">
      <selection activeCell="F77" sqref="F77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78</v>
      </c>
    </row>
    <row r="3" spans="1:8" x14ac:dyDescent="0.25">
      <c r="A3">
        <v>2019</v>
      </c>
      <c r="B3">
        <v>5</v>
      </c>
      <c r="C3">
        <v>215.57</v>
      </c>
      <c r="D3">
        <v>102120526.3</v>
      </c>
      <c r="E3">
        <v>4311416.53</v>
      </c>
      <c r="F3">
        <v>106431942.83</v>
      </c>
      <c r="G3">
        <v>343.05</v>
      </c>
    </row>
    <row r="4" spans="1:8" x14ac:dyDescent="0.25">
      <c r="A4">
        <v>2020</v>
      </c>
      <c r="B4">
        <v>4</v>
      </c>
      <c r="C4">
        <v>232.75</v>
      </c>
      <c r="D4">
        <v>102120526.3</v>
      </c>
      <c r="E4">
        <v>4655002.13</v>
      </c>
      <c r="F4">
        <v>106775528.43000001</v>
      </c>
      <c r="G4">
        <v>344.16</v>
      </c>
    </row>
    <row r="5" spans="1:8" x14ac:dyDescent="0.25">
      <c r="A5">
        <v>2021</v>
      </c>
      <c r="B5">
        <v>20</v>
      </c>
      <c r="C5">
        <v>835.73</v>
      </c>
      <c r="D5">
        <v>102120526.3</v>
      </c>
      <c r="E5">
        <v>16714561.689999999</v>
      </c>
      <c r="F5">
        <v>118835087.98999999</v>
      </c>
      <c r="G5">
        <v>383.03</v>
      </c>
    </row>
    <row r="6" spans="1:8" x14ac:dyDescent="0.25">
      <c r="A6">
        <v>2022</v>
      </c>
      <c r="B6">
        <v>16</v>
      </c>
      <c r="C6">
        <v>980.29</v>
      </c>
      <c r="D6">
        <v>102120526.3</v>
      </c>
      <c r="E6">
        <v>19605709.239999998</v>
      </c>
      <c r="F6">
        <v>121726235.54000001</v>
      </c>
      <c r="G6">
        <v>392.35</v>
      </c>
    </row>
    <row r="7" spans="1:8" x14ac:dyDescent="0.25">
      <c r="A7">
        <v>2023</v>
      </c>
      <c r="B7">
        <v>7</v>
      </c>
      <c r="C7">
        <v>421.76</v>
      </c>
      <c r="D7">
        <v>102120526.3</v>
      </c>
      <c r="E7">
        <v>8435250.7599999998</v>
      </c>
      <c r="F7">
        <v>110555777.06</v>
      </c>
      <c r="G7">
        <v>356.34</v>
      </c>
    </row>
    <row r="8" spans="1:8" x14ac:dyDescent="0.25">
      <c r="A8">
        <v>2024</v>
      </c>
      <c r="B8">
        <v>26</v>
      </c>
      <c r="C8">
        <v>1176.03</v>
      </c>
      <c r="D8">
        <v>102120526.3</v>
      </c>
      <c r="E8">
        <v>23520579.91</v>
      </c>
      <c r="F8">
        <v>125641106.20999999</v>
      </c>
      <c r="G8">
        <v>404.97</v>
      </c>
    </row>
    <row r="10" spans="1:8" x14ac:dyDescent="0.25">
      <c r="A10" s="2" t="s">
        <v>8</v>
      </c>
      <c r="B10" s="2"/>
      <c r="C10" s="2"/>
      <c r="D10" s="2"/>
      <c r="E10" s="2"/>
      <c r="F10" s="2"/>
      <c r="G10" s="2"/>
    </row>
    <row r="11" spans="1: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>
        <f>SUM(B12:B17)</f>
        <v>78</v>
      </c>
    </row>
    <row r="12" spans="1:8" x14ac:dyDescent="0.25">
      <c r="A12">
        <v>2019</v>
      </c>
      <c r="B12">
        <v>1</v>
      </c>
      <c r="C12">
        <v>31.11</v>
      </c>
      <c r="D12">
        <v>99995562.370000005</v>
      </c>
      <c r="E12">
        <v>622245.78</v>
      </c>
      <c r="F12">
        <v>100617808.15000001</v>
      </c>
      <c r="G12">
        <v>324.31</v>
      </c>
    </row>
    <row r="13" spans="1:8" x14ac:dyDescent="0.25">
      <c r="A13">
        <v>2020</v>
      </c>
      <c r="B13">
        <v>5</v>
      </c>
      <c r="C13">
        <v>300.04000000000002</v>
      </c>
      <c r="D13">
        <v>99995562.370000005</v>
      </c>
      <c r="E13">
        <v>6000876.8399999999</v>
      </c>
      <c r="F13">
        <v>105996439.22</v>
      </c>
      <c r="G13">
        <v>341.65</v>
      </c>
    </row>
    <row r="14" spans="1:8" x14ac:dyDescent="0.25">
      <c r="A14">
        <v>2021</v>
      </c>
      <c r="B14">
        <v>20</v>
      </c>
      <c r="C14">
        <v>927.62</v>
      </c>
      <c r="D14">
        <v>99995562.370000005</v>
      </c>
      <c r="E14">
        <v>18552374.09</v>
      </c>
      <c r="F14">
        <v>118547936.45999999</v>
      </c>
      <c r="G14">
        <v>382.1</v>
      </c>
    </row>
    <row r="15" spans="1:8" x14ac:dyDescent="0.25">
      <c r="A15">
        <v>2022</v>
      </c>
      <c r="B15">
        <v>17</v>
      </c>
      <c r="C15">
        <v>819.38</v>
      </c>
      <c r="D15">
        <v>99995562.370000005</v>
      </c>
      <c r="E15">
        <v>16387599.109999999</v>
      </c>
      <c r="F15">
        <v>116383161.48</v>
      </c>
      <c r="G15">
        <v>375.13</v>
      </c>
    </row>
    <row r="16" spans="1:8" x14ac:dyDescent="0.25">
      <c r="A16">
        <v>2023</v>
      </c>
      <c r="B16">
        <v>11</v>
      </c>
      <c r="C16">
        <v>584.35</v>
      </c>
      <c r="D16">
        <v>99995562.370000005</v>
      </c>
      <c r="E16">
        <v>11686919.16</v>
      </c>
      <c r="F16">
        <v>111682481.53</v>
      </c>
      <c r="G16">
        <v>359.98</v>
      </c>
    </row>
    <row r="17" spans="1:8" x14ac:dyDescent="0.25">
      <c r="A17">
        <v>2024</v>
      </c>
      <c r="B17">
        <v>24</v>
      </c>
      <c r="C17">
        <v>1065.51</v>
      </c>
      <c r="D17">
        <v>99995562.370000005</v>
      </c>
      <c r="E17">
        <v>21310151.289999999</v>
      </c>
      <c r="F17">
        <v>121305713.66</v>
      </c>
      <c r="G17">
        <v>390.99</v>
      </c>
    </row>
    <row r="20" spans="1:8" x14ac:dyDescent="0.25">
      <c r="A20" s="2" t="s">
        <v>9</v>
      </c>
      <c r="B20" s="2"/>
      <c r="C20" s="2"/>
      <c r="D20" s="2"/>
      <c r="E20" s="2"/>
      <c r="F20" s="2"/>
      <c r="G20" s="2"/>
    </row>
    <row r="21" spans="1: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>
        <f>SUM(B22:B27)</f>
        <v>78</v>
      </c>
    </row>
    <row r="22" spans="1:8" x14ac:dyDescent="0.25">
      <c r="A22">
        <v>2019</v>
      </c>
      <c r="B22">
        <v>1</v>
      </c>
      <c r="C22">
        <v>31.11</v>
      </c>
      <c r="D22">
        <v>99995562.370000005</v>
      </c>
      <c r="E22">
        <v>622245.78</v>
      </c>
      <c r="F22">
        <v>100617808.15000001</v>
      </c>
      <c r="G22">
        <v>324.31</v>
      </c>
    </row>
    <row r="23" spans="1:8" x14ac:dyDescent="0.25">
      <c r="A23">
        <v>2020</v>
      </c>
      <c r="B23">
        <v>5</v>
      </c>
      <c r="C23">
        <v>300.04000000000002</v>
      </c>
      <c r="D23">
        <v>99995562.370000005</v>
      </c>
      <c r="E23">
        <v>6000876.8399999999</v>
      </c>
      <c r="F23">
        <v>105996439.22</v>
      </c>
      <c r="G23">
        <v>341.65</v>
      </c>
    </row>
    <row r="24" spans="1:8" x14ac:dyDescent="0.25">
      <c r="A24">
        <v>2021</v>
      </c>
      <c r="B24">
        <v>20</v>
      </c>
      <c r="C24">
        <v>927.62</v>
      </c>
      <c r="D24">
        <v>99995562.370000005</v>
      </c>
      <c r="E24">
        <v>18552374.09</v>
      </c>
      <c r="F24">
        <v>118547936.45999999</v>
      </c>
      <c r="G24">
        <v>382.1</v>
      </c>
    </row>
    <row r="25" spans="1:8" x14ac:dyDescent="0.25">
      <c r="A25">
        <v>2022</v>
      </c>
      <c r="B25">
        <v>17</v>
      </c>
      <c r="C25">
        <v>819.38</v>
      </c>
      <c r="D25">
        <v>99995562.370000005</v>
      </c>
      <c r="E25">
        <v>16387599.109999999</v>
      </c>
      <c r="F25">
        <v>116383161.48</v>
      </c>
      <c r="G25">
        <v>375.13</v>
      </c>
    </row>
    <row r="26" spans="1:8" x14ac:dyDescent="0.25">
      <c r="A26">
        <v>2023</v>
      </c>
      <c r="B26">
        <v>11</v>
      </c>
      <c r="C26">
        <v>584.35</v>
      </c>
      <c r="D26">
        <v>99995562.370000005</v>
      </c>
      <c r="E26">
        <v>11686919.16</v>
      </c>
      <c r="F26">
        <v>111682481.53</v>
      </c>
      <c r="G26">
        <v>359.98</v>
      </c>
    </row>
    <row r="27" spans="1:8" x14ac:dyDescent="0.25">
      <c r="A27">
        <v>2024</v>
      </c>
      <c r="B27">
        <v>24</v>
      </c>
      <c r="C27">
        <v>1065.51</v>
      </c>
      <c r="D27">
        <v>99995562.370000005</v>
      </c>
      <c r="E27">
        <v>21310151.289999999</v>
      </c>
      <c r="F27">
        <v>121305713.66</v>
      </c>
      <c r="G27">
        <v>390.99</v>
      </c>
    </row>
    <row r="31" spans="1:8" x14ac:dyDescent="0.25">
      <c r="A31" s="2" t="s">
        <v>10</v>
      </c>
      <c r="B31" s="2"/>
      <c r="C31" s="2"/>
      <c r="D31" s="2"/>
      <c r="E31" s="2"/>
      <c r="F31" s="2"/>
      <c r="G31" s="2"/>
    </row>
    <row r="32" spans="1: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>
        <f>SUM(B33:B38)</f>
        <v>78</v>
      </c>
    </row>
    <row r="33" spans="1:13" x14ac:dyDescent="0.25">
      <c r="A33">
        <v>2019</v>
      </c>
      <c r="B33">
        <v>1</v>
      </c>
      <c r="C33">
        <v>31.11</v>
      </c>
      <c r="D33">
        <v>99995562.370000005</v>
      </c>
      <c r="E33">
        <v>622245.78</v>
      </c>
      <c r="F33">
        <v>100617808.15000001</v>
      </c>
      <c r="G33">
        <v>324.31</v>
      </c>
    </row>
    <row r="34" spans="1:13" x14ac:dyDescent="0.25">
      <c r="A34">
        <v>2020</v>
      </c>
      <c r="B34">
        <v>5</v>
      </c>
      <c r="C34">
        <v>300.04000000000002</v>
      </c>
      <c r="D34">
        <v>99995562.370000005</v>
      </c>
      <c r="E34">
        <v>6000876.8399999999</v>
      </c>
      <c r="F34">
        <v>105996439.22</v>
      </c>
      <c r="G34">
        <v>341.65</v>
      </c>
    </row>
    <row r="35" spans="1:13" x14ac:dyDescent="0.25">
      <c r="A35">
        <v>2021</v>
      </c>
      <c r="B35">
        <v>20</v>
      </c>
      <c r="C35">
        <v>927.62</v>
      </c>
      <c r="D35">
        <v>99995562.370000005</v>
      </c>
      <c r="E35">
        <v>18552374.09</v>
      </c>
      <c r="F35">
        <v>118547936.45999999</v>
      </c>
      <c r="G35">
        <v>382.1</v>
      </c>
    </row>
    <row r="36" spans="1:13" x14ac:dyDescent="0.25">
      <c r="A36">
        <v>2022</v>
      </c>
      <c r="B36">
        <v>17</v>
      </c>
      <c r="C36">
        <v>819.38</v>
      </c>
      <c r="D36">
        <v>99995562.370000005</v>
      </c>
      <c r="E36">
        <v>16387599.109999999</v>
      </c>
      <c r="F36">
        <v>116383161.48</v>
      </c>
      <c r="G36">
        <v>375.13</v>
      </c>
    </row>
    <row r="37" spans="1:13" x14ac:dyDescent="0.25">
      <c r="A37">
        <v>2023</v>
      </c>
      <c r="B37">
        <v>11</v>
      </c>
      <c r="C37">
        <v>584.35</v>
      </c>
      <c r="D37">
        <v>99995562.370000005</v>
      </c>
      <c r="E37">
        <v>11686919.16</v>
      </c>
      <c r="F37">
        <v>111682481.53</v>
      </c>
      <c r="G37">
        <v>359.98</v>
      </c>
    </row>
    <row r="38" spans="1:13" x14ac:dyDescent="0.25">
      <c r="A38">
        <v>2024</v>
      </c>
      <c r="B38">
        <v>24</v>
      </c>
      <c r="C38">
        <v>1065.51</v>
      </c>
      <c r="D38">
        <v>99995562.370000005</v>
      </c>
      <c r="E38">
        <v>21310151.289999999</v>
      </c>
      <c r="F38">
        <v>121305713.66</v>
      </c>
      <c r="G38">
        <v>390.99</v>
      </c>
    </row>
    <row r="39" spans="1:13" x14ac:dyDescent="0.25">
      <c r="K39" t="s">
        <v>28</v>
      </c>
      <c r="L39" t="s">
        <v>25</v>
      </c>
      <c r="M39" t="s">
        <v>26</v>
      </c>
    </row>
    <row r="40" spans="1:13" x14ac:dyDescent="0.25">
      <c r="A40" s="2" t="s">
        <v>11</v>
      </c>
      <c r="B40" s="2"/>
      <c r="C40" s="2"/>
      <c r="D40" s="2"/>
      <c r="E40" s="2"/>
      <c r="F40" s="2"/>
      <c r="G40" s="2"/>
      <c r="J40">
        <v>2019</v>
      </c>
      <c r="K40" s="1">
        <f>B3</f>
        <v>5</v>
      </c>
      <c r="L40" s="1">
        <f>B12</f>
        <v>1</v>
      </c>
      <c r="M40">
        <f t="shared" ref="M40:M45" si="0">B52</f>
        <v>2</v>
      </c>
    </row>
    <row r="41" spans="1:13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>
        <f>SUM(B42:B47)</f>
        <v>78</v>
      </c>
      <c r="J41">
        <v>2020</v>
      </c>
      <c r="K41" s="1">
        <f t="shared" ref="K41:K45" si="1">B4</f>
        <v>4</v>
      </c>
      <c r="L41" s="1">
        <f t="shared" ref="L41:L45" si="2">B13</f>
        <v>5</v>
      </c>
      <c r="M41">
        <f t="shared" si="0"/>
        <v>4</v>
      </c>
    </row>
    <row r="42" spans="1:13" x14ac:dyDescent="0.25">
      <c r="A42">
        <v>2019</v>
      </c>
      <c r="B42">
        <v>5</v>
      </c>
      <c r="C42">
        <v>215.57</v>
      </c>
      <c r="D42">
        <v>102120526.3</v>
      </c>
      <c r="E42">
        <v>4311416.53</v>
      </c>
      <c r="F42">
        <v>106431942.83</v>
      </c>
      <c r="G42">
        <v>343.05</v>
      </c>
      <c r="J42">
        <v>2021</v>
      </c>
      <c r="K42" s="1">
        <f t="shared" si="1"/>
        <v>20</v>
      </c>
      <c r="L42" s="1">
        <f t="shared" si="2"/>
        <v>20</v>
      </c>
      <c r="M42">
        <f t="shared" si="0"/>
        <v>20</v>
      </c>
    </row>
    <row r="43" spans="1:13" x14ac:dyDescent="0.25">
      <c r="A43">
        <v>2020</v>
      </c>
      <c r="B43">
        <v>4</v>
      </c>
      <c r="C43">
        <v>232.75</v>
      </c>
      <c r="D43">
        <v>102120526.3</v>
      </c>
      <c r="E43">
        <v>4655002.13</v>
      </c>
      <c r="F43">
        <v>106775528.43000001</v>
      </c>
      <c r="G43">
        <v>344.16</v>
      </c>
      <c r="J43">
        <v>2022</v>
      </c>
      <c r="K43" s="1">
        <f t="shared" si="1"/>
        <v>16</v>
      </c>
      <c r="L43" s="1">
        <f t="shared" si="2"/>
        <v>17</v>
      </c>
      <c r="M43">
        <f t="shared" si="0"/>
        <v>15</v>
      </c>
    </row>
    <row r="44" spans="1:13" x14ac:dyDescent="0.25">
      <c r="A44">
        <v>2021</v>
      </c>
      <c r="B44">
        <v>20</v>
      </c>
      <c r="C44">
        <v>835.73</v>
      </c>
      <c r="D44">
        <v>102120526.3</v>
      </c>
      <c r="E44">
        <v>16714561.689999999</v>
      </c>
      <c r="F44">
        <v>118835087.98999999</v>
      </c>
      <c r="G44">
        <v>383.03</v>
      </c>
      <c r="J44">
        <v>2023</v>
      </c>
      <c r="K44" s="1">
        <f t="shared" si="1"/>
        <v>7</v>
      </c>
      <c r="L44" s="1">
        <f t="shared" si="2"/>
        <v>11</v>
      </c>
      <c r="M44">
        <f t="shared" si="0"/>
        <v>7</v>
      </c>
    </row>
    <row r="45" spans="1:13" x14ac:dyDescent="0.25">
      <c r="A45">
        <v>2022</v>
      </c>
      <c r="B45">
        <v>16</v>
      </c>
      <c r="C45">
        <v>980.29</v>
      </c>
      <c r="D45">
        <v>102120526.3</v>
      </c>
      <c r="E45">
        <v>19605709.239999998</v>
      </c>
      <c r="F45">
        <v>121726235.54000001</v>
      </c>
      <c r="G45">
        <v>392.35</v>
      </c>
      <c r="J45">
        <v>2024</v>
      </c>
      <c r="K45" s="1">
        <f t="shared" si="1"/>
        <v>26</v>
      </c>
      <c r="L45" s="1">
        <f t="shared" si="2"/>
        <v>24</v>
      </c>
      <c r="M45">
        <f t="shared" si="0"/>
        <v>24</v>
      </c>
    </row>
    <row r="46" spans="1:13" x14ac:dyDescent="0.25">
      <c r="A46">
        <v>2023</v>
      </c>
      <c r="B46">
        <v>7</v>
      </c>
      <c r="C46">
        <v>421.76</v>
      </c>
      <c r="D46">
        <v>102120526.3</v>
      </c>
      <c r="E46">
        <v>8435250.7599999998</v>
      </c>
      <c r="F46">
        <v>110555777.06</v>
      </c>
      <c r="G46">
        <v>356.34</v>
      </c>
    </row>
    <row r="47" spans="1:13" x14ac:dyDescent="0.25">
      <c r="A47">
        <v>2024</v>
      </c>
      <c r="B47">
        <v>26</v>
      </c>
      <c r="C47">
        <v>1176.03</v>
      </c>
      <c r="D47">
        <v>102120526.3</v>
      </c>
      <c r="E47">
        <v>23520579.91</v>
      </c>
      <c r="F47">
        <v>125641106.20999999</v>
      </c>
      <c r="G47">
        <v>404.97</v>
      </c>
    </row>
    <row r="50" spans="1:8" x14ac:dyDescent="0.25">
      <c r="A50" s="2" t="s">
        <v>12</v>
      </c>
      <c r="B50" s="2"/>
      <c r="C50" s="2"/>
      <c r="D50" s="2"/>
      <c r="E50" s="2"/>
      <c r="F50" s="2"/>
      <c r="G50" s="2"/>
    </row>
    <row r="51" spans="1: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>
        <f>SUM(B52:B57)</f>
        <v>72</v>
      </c>
    </row>
    <row r="52" spans="1:8" x14ac:dyDescent="0.25">
      <c r="A52">
        <v>2019</v>
      </c>
      <c r="B52">
        <v>2</v>
      </c>
      <c r="C52">
        <v>107.5</v>
      </c>
      <c r="D52">
        <v>102844877.73999999</v>
      </c>
      <c r="E52">
        <v>2149930.58</v>
      </c>
      <c r="F52">
        <v>104994808.31999999</v>
      </c>
      <c r="G52">
        <v>338.42</v>
      </c>
    </row>
    <row r="53" spans="1:8" x14ac:dyDescent="0.25">
      <c r="A53">
        <v>2020</v>
      </c>
      <c r="B53">
        <v>4</v>
      </c>
      <c r="C53">
        <v>188.71</v>
      </c>
      <c r="D53">
        <v>102844877.73999999</v>
      </c>
      <c r="E53">
        <v>3774186.13</v>
      </c>
      <c r="F53">
        <v>106619063.87</v>
      </c>
      <c r="G53">
        <v>343.66</v>
      </c>
    </row>
    <row r="54" spans="1:8" x14ac:dyDescent="0.25">
      <c r="A54">
        <v>2021</v>
      </c>
      <c r="B54">
        <v>20</v>
      </c>
      <c r="C54">
        <v>795.34</v>
      </c>
      <c r="D54">
        <v>102844877.73999999</v>
      </c>
      <c r="E54">
        <v>15906721.51</v>
      </c>
      <c r="F54">
        <v>118751599.25</v>
      </c>
      <c r="G54">
        <v>382.76</v>
      </c>
    </row>
    <row r="55" spans="1:8" x14ac:dyDescent="0.25">
      <c r="A55">
        <v>2022</v>
      </c>
      <c r="B55">
        <v>15</v>
      </c>
      <c r="C55">
        <v>851.63</v>
      </c>
      <c r="D55">
        <v>102844877.73999999</v>
      </c>
      <c r="E55">
        <v>17032639.82</v>
      </c>
      <c r="F55">
        <v>119877517.56</v>
      </c>
      <c r="G55">
        <v>386.39</v>
      </c>
    </row>
    <row r="56" spans="1:8" x14ac:dyDescent="0.25">
      <c r="A56">
        <v>2023</v>
      </c>
      <c r="B56">
        <v>7</v>
      </c>
      <c r="C56">
        <v>403.89</v>
      </c>
      <c r="D56">
        <v>102844877.73999999</v>
      </c>
      <c r="E56">
        <v>8077708.4400000004</v>
      </c>
      <c r="F56">
        <v>110922586.18000001</v>
      </c>
      <c r="G56">
        <v>357.53</v>
      </c>
    </row>
    <row r="57" spans="1:8" x14ac:dyDescent="0.25">
      <c r="A57">
        <v>2024</v>
      </c>
      <c r="B57">
        <v>24</v>
      </c>
      <c r="C57">
        <v>1000.75</v>
      </c>
      <c r="D57">
        <v>102844877.73999999</v>
      </c>
      <c r="E57">
        <v>20015079.199999999</v>
      </c>
      <c r="F57">
        <v>122859956.94</v>
      </c>
      <c r="G57">
        <v>396</v>
      </c>
    </row>
    <row r="71" spans="10:16" x14ac:dyDescent="0.25">
      <c r="K71" t="s">
        <v>35</v>
      </c>
      <c r="L71" t="s">
        <v>37</v>
      </c>
      <c r="M71" t="s">
        <v>21</v>
      </c>
      <c r="N71" t="s">
        <v>26</v>
      </c>
      <c r="O71" t="s">
        <v>16</v>
      </c>
      <c r="P71" t="s">
        <v>26</v>
      </c>
    </row>
    <row r="72" spans="10:16" x14ac:dyDescent="0.25">
      <c r="J72" t="s">
        <v>18</v>
      </c>
      <c r="K72" s="1">
        <f>SUM(K40:K45)</f>
        <v>78</v>
      </c>
      <c r="L72" s="1">
        <f>SUM(L40:L45)</f>
        <v>78</v>
      </c>
      <c r="M72" s="1">
        <f>SUM(M40:M45)</f>
        <v>72</v>
      </c>
      <c r="N72" s="1" t="e">
        <f>SUM(#REF!)</f>
        <v>#REF!</v>
      </c>
      <c r="O72" s="1">
        <f t="shared" ref="O72" si="3">SUM(O40:O45)</f>
        <v>0</v>
      </c>
      <c r="P72" s="1">
        <f>SUM(M40:M45)</f>
        <v>72</v>
      </c>
    </row>
  </sheetData>
  <mergeCells count="6">
    <mergeCell ref="A50:G50"/>
    <mergeCell ref="A1:G1"/>
    <mergeCell ref="A10:G10"/>
    <mergeCell ref="A20:G20"/>
    <mergeCell ref="A31:G31"/>
    <mergeCell ref="A40:G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F2E5-DF9F-4B5A-968F-CA27E4A0757F}">
  <dimension ref="A1:N73"/>
  <sheetViews>
    <sheetView topLeftCell="C46" workbookViewId="0">
      <selection activeCell="M34" sqref="M34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21.425781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60</v>
      </c>
    </row>
    <row r="3" spans="1:8" x14ac:dyDescent="0.25">
      <c r="A3" s="1">
        <v>2019</v>
      </c>
      <c r="B3" s="1">
        <v>16</v>
      </c>
      <c r="C3" s="1">
        <v>102.06</v>
      </c>
      <c r="D3" s="1">
        <v>67185867.459999993</v>
      </c>
      <c r="E3" s="1">
        <v>2041276.89</v>
      </c>
      <c r="F3" s="1">
        <v>69227144.349999994</v>
      </c>
      <c r="G3" s="1">
        <v>223.13</v>
      </c>
    </row>
    <row r="4" spans="1:8" x14ac:dyDescent="0.25">
      <c r="A4" s="1">
        <v>2020</v>
      </c>
      <c r="B4" s="1">
        <v>13</v>
      </c>
      <c r="C4" s="1">
        <v>101.24</v>
      </c>
      <c r="D4" s="1">
        <v>67185867.459999993</v>
      </c>
      <c r="E4" s="1">
        <v>2024769.07</v>
      </c>
      <c r="F4" s="1">
        <v>69210636.530000001</v>
      </c>
      <c r="G4" s="1">
        <v>223.08</v>
      </c>
    </row>
    <row r="5" spans="1:8" x14ac:dyDescent="0.25">
      <c r="A5" s="1">
        <v>2021</v>
      </c>
      <c r="B5" s="1">
        <v>8</v>
      </c>
      <c r="C5" s="1">
        <v>44.13</v>
      </c>
      <c r="D5" s="1">
        <v>67185867.459999993</v>
      </c>
      <c r="E5" s="1">
        <v>882657.33</v>
      </c>
      <c r="F5" s="1">
        <v>68068524.799999997</v>
      </c>
      <c r="G5" s="1">
        <v>219.4</v>
      </c>
    </row>
    <row r="6" spans="1:8" x14ac:dyDescent="0.25">
      <c r="A6" s="1">
        <v>2022</v>
      </c>
      <c r="B6" s="1">
        <v>13</v>
      </c>
      <c r="C6" s="1">
        <v>388.59</v>
      </c>
      <c r="D6" s="1">
        <v>67185867.459999993</v>
      </c>
      <c r="E6" s="1">
        <v>7771744.8899999997</v>
      </c>
      <c r="F6" s="1">
        <v>74957612.349999994</v>
      </c>
      <c r="G6" s="1">
        <v>241.6</v>
      </c>
    </row>
    <row r="7" spans="1:8" x14ac:dyDescent="0.25">
      <c r="A7" s="1">
        <v>2023</v>
      </c>
      <c r="B7" s="1">
        <v>5</v>
      </c>
      <c r="C7" s="1">
        <v>39.729999999999997</v>
      </c>
      <c r="D7" s="1">
        <v>67185867.459999993</v>
      </c>
      <c r="E7" s="1">
        <v>794698.67</v>
      </c>
      <c r="F7" s="1">
        <v>67980566.129999995</v>
      </c>
      <c r="G7" s="1">
        <v>219.12</v>
      </c>
    </row>
    <row r="8" spans="1:8" x14ac:dyDescent="0.25">
      <c r="A8" s="1">
        <v>2024</v>
      </c>
      <c r="B8" s="1">
        <v>5</v>
      </c>
      <c r="C8" s="1">
        <v>40.47</v>
      </c>
      <c r="D8" s="1">
        <v>67185867.459999993</v>
      </c>
      <c r="E8" s="1">
        <v>809376.09</v>
      </c>
      <c r="F8" s="1">
        <v>67995243.549999997</v>
      </c>
      <c r="G8" s="1">
        <v>219.16</v>
      </c>
    </row>
    <row r="11" spans="1:8" x14ac:dyDescent="0.25">
      <c r="A11" s="2" t="s">
        <v>8</v>
      </c>
      <c r="B11" s="2"/>
      <c r="C11" s="2"/>
      <c r="D11" s="2"/>
      <c r="E11" s="2"/>
      <c r="F11" s="2"/>
      <c r="G11" s="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>
        <f>SUM(B13:B18)</f>
        <v>68</v>
      </c>
    </row>
    <row r="13" spans="1:8" x14ac:dyDescent="0.25">
      <c r="A13">
        <v>2019</v>
      </c>
      <c r="B13">
        <v>21</v>
      </c>
      <c r="C13">
        <v>381.14</v>
      </c>
      <c r="D13">
        <v>66402609.990000002</v>
      </c>
      <c r="E13">
        <v>7622896.8399999999</v>
      </c>
      <c r="F13">
        <v>74025506.829999998</v>
      </c>
      <c r="G13">
        <v>238.6</v>
      </c>
    </row>
    <row r="14" spans="1:8" x14ac:dyDescent="0.25">
      <c r="A14">
        <v>2020</v>
      </c>
      <c r="B14">
        <v>13</v>
      </c>
      <c r="C14">
        <v>116.54</v>
      </c>
      <c r="D14">
        <v>66402609.990000002</v>
      </c>
      <c r="E14">
        <v>2330884.7999999998</v>
      </c>
      <c r="F14">
        <v>68733494.790000007</v>
      </c>
      <c r="G14">
        <v>221.54</v>
      </c>
    </row>
    <row r="15" spans="1:8" x14ac:dyDescent="0.25">
      <c r="A15">
        <v>2021</v>
      </c>
      <c r="B15">
        <v>9</v>
      </c>
      <c r="C15">
        <v>49.08</v>
      </c>
      <c r="D15">
        <v>66402609.990000002</v>
      </c>
      <c r="E15">
        <v>981584.8</v>
      </c>
      <c r="F15">
        <v>67384194.790000007</v>
      </c>
      <c r="G15">
        <v>217.19</v>
      </c>
    </row>
    <row r="16" spans="1:8" x14ac:dyDescent="0.25">
      <c r="A16">
        <v>2022</v>
      </c>
      <c r="B16">
        <v>17</v>
      </c>
      <c r="C16">
        <v>496.58</v>
      </c>
      <c r="D16">
        <v>66402609.990000002</v>
      </c>
      <c r="E16">
        <v>9931573.5999999996</v>
      </c>
      <c r="F16">
        <v>76334183.590000004</v>
      </c>
      <c r="G16">
        <v>246.04</v>
      </c>
    </row>
    <row r="17" spans="1:8" x14ac:dyDescent="0.25">
      <c r="A17">
        <v>2023</v>
      </c>
      <c r="B17">
        <v>4</v>
      </c>
      <c r="C17">
        <v>28.96</v>
      </c>
      <c r="D17">
        <v>66402609.990000002</v>
      </c>
      <c r="E17">
        <v>579159.78</v>
      </c>
      <c r="F17">
        <v>66981769.759999998</v>
      </c>
      <c r="G17">
        <v>215.9</v>
      </c>
    </row>
    <row r="18" spans="1:8" x14ac:dyDescent="0.25">
      <c r="A18">
        <v>2024</v>
      </c>
      <c r="B18">
        <v>4</v>
      </c>
      <c r="C18">
        <v>17.75</v>
      </c>
      <c r="D18">
        <v>66402609.990000002</v>
      </c>
      <c r="E18">
        <v>355083.02</v>
      </c>
      <c r="F18">
        <v>66757693.009999998</v>
      </c>
      <c r="G18">
        <v>215.17</v>
      </c>
    </row>
    <row r="21" spans="1:8" x14ac:dyDescent="0.25">
      <c r="A21" s="2" t="s">
        <v>9</v>
      </c>
      <c r="B21" s="2"/>
      <c r="C21" s="2"/>
      <c r="D21" s="2"/>
      <c r="E21" s="2"/>
      <c r="F21" s="2"/>
      <c r="G21" s="2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>
        <f>SUM(B23:B28)</f>
        <v>98</v>
      </c>
    </row>
    <row r="23" spans="1:8" x14ac:dyDescent="0.25">
      <c r="A23">
        <v>2019</v>
      </c>
      <c r="B23">
        <v>23</v>
      </c>
      <c r="C23">
        <v>355.11</v>
      </c>
      <c r="D23">
        <v>65378558.719999999</v>
      </c>
      <c r="E23">
        <v>7102139.7300000004</v>
      </c>
      <c r="F23">
        <v>72480698.459999993</v>
      </c>
      <c r="G23">
        <v>233.62</v>
      </c>
    </row>
    <row r="24" spans="1:8" x14ac:dyDescent="0.25">
      <c r="A24">
        <v>2020</v>
      </c>
      <c r="B24">
        <v>19</v>
      </c>
      <c r="C24">
        <v>173.16</v>
      </c>
      <c r="D24">
        <v>65378558.719999999</v>
      </c>
      <c r="E24">
        <v>3463217.87</v>
      </c>
      <c r="F24">
        <v>68841776.590000004</v>
      </c>
      <c r="G24">
        <v>221.89</v>
      </c>
    </row>
    <row r="25" spans="1:8" x14ac:dyDescent="0.25">
      <c r="A25">
        <v>2021</v>
      </c>
      <c r="B25">
        <v>13</v>
      </c>
      <c r="C25">
        <v>96.15</v>
      </c>
      <c r="D25">
        <v>65378558.719999999</v>
      </c>
      <c r="E25">
        <v>1923020</v>
      </c>
      <c r="F25">
        <v>67301578.719999999</v>
      </c>
      <c r="G25">
        <v>216.93</v>
      </c>
    </row>
    <row r="26" spans="1:8" x14ac:dyDescent="0.25">
      <c r="A26">
        <v>2022</v>
      </c>
      <c r="B26">
        <v>28</v>
      </c>
      <c r="C26">
        <v>558.94000000000005</v>
      </c>
      <c r="D26">
        <v>65378558.719999999</v>
      </c>
      <c r="E26">
        <v>11178839.470000001</v>
      </c>
      <c r="F26">
        <v>76557398.189999998</v>
      </c>
      <c r="G26">
        <v>246.76</v>
      </c>
    </row>
    <row r="27" spans="1:8" x14ac:dyDescent="0.25">
      <c r="A27">
        <v>2023</v>
      </c>
      <c r="B27">
        <v>8</v>
      </c>
      <c r="C27">
        <v>56.65</v>
      </c>
      <c r="D27">
        <v>65378558.719999999</v>
      </c>
      <c r="E27">
        <v>1133033.33</v>
      </c>
      <c r="F27">
        <v>66511592.060000002</v>
      </c>
      <c r="G27">
        <v>214.38</v>
      </c>
    </row>
    <row r="28" spans="1:8" x14ac:dyDescent="0.25">
      <c r="A28">
        <v>2024</v>
      </c>
      <c r="B28">
        <v>7</v>
      </c>
      <c r="C28">
        <v>59.63</v>
      </c>
      <c r="D28">
        <v>65378558.719999999</v>
      </c>
      <c r="E28">
        <v>1192605.33</v>
      </c>
      <c r="F28">
        <v>66571164.060000002</v>
      </c>
      <c r="G28">
        <v>214.57</v>
      </c>
    </row>
    <row r="32" spans="1:8" x14ac:dyDescent="0.25">
      <c r="A32" s="2" t="s">
        <v>10</v>
      </c>
      <c r="B32" s="2"/>
      <c r="C32" s="2"/>
      <c r="D32" s="2"/>
      <c r="E32" s="2"/>
      <c r="F32" s="2"/>
      <c r="G32" s="2"/>
    </row>
    <row r="33" spans="1:14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>
        <f>SUM(B34:B39)</f>
        <v>90</v>
      </c>
    </row>
    <row r="34" spans="1:14" x14ac:dyDescent="0.25">
      <c r="A34">
        <v>2019</v>
      </c>
      <c r="B34">
        <v>24</v>
      </c>
      <c r="C34">
        <v>431.22</v>
      </c>
      <c r="D34">
        <v>65487951.380000003</v>
      </c>
      <c r="E34">
        <v>8624403.9100000001</v>
      </c>
      <c r="F34">
        <v>74112355.299999997</v>
      </c>
      <c r="G34">
        <v>238.88</v>
      </c>
    </row>
    <row r="35" spans="1:14" x14ac:dyDescent="0.25">
      <c r="A35">
        <v>2020</v>
      </c>
      <c r="B35">
        <v>17</v>
      </c>
      <c r="C35">
        <v>178.54</v>
      </c>
      <c r="D35">
        <v>65487951.380000003</v>
      </c>
      <c r="E35">
        <v>3570706.53</v>
      </c>
      <c r="F35">
        <v>69058657.920000002</v>
      </c>
      <c r="G35">
        <v>222.59</v>
      </c>
    </row>
    <row r="36" spans="1:14" x14ac:dyDescent="0.25">
      <c r="A36">
        <v>2021</v>
      </c>
      <c r="B36">
        <v>12</v>
      </c>
      <c r="C36">
        <v>89.07</v>
      </c>
      <c r="D36">
        <v>65487951.380000003</v>
      </c>
      <c r="E36">
        <v>1781467.73</v>
      </c>
      <c r="F36">
        <v>67269419.120000005</v>
      </c>
      <c r="G36">
        <v>216.82</v>
      </c>
    </row>
    <row r="37" spans="1:14" x14ac:dyDescent="0.25">
      <c r="A37">
        <v>2022</v>
      </c>
      <c r="B37">
        <v>26</v>
      </c>
      <c r="C37">
        <v>556.42999999999995</v>
      </c>
      <c r="D37">
        <v>65487951.380000003</v>
      </c>
      <c r="E37">
        <v>11128635.24</v>
      </c>
      <c r="F37">
        <v>76616586.629999995</v>
      </c>
      <c r="G37">
        <v>246.95</v>
      </c>
    </row>
    <row r="38" spans="1:14" x14ac:dyDescent="0.25">
      <c r="A38">
        <v>2023</v>
      </c>
      <c r="B38">
        <v>5</v>
      </c>
      <c r="C38">
        <v>49.72</v>
      </c>
      <c r="D38">
        <v>65487951.380000003</v>
      </c>
      <c r="E38">
        <v>994330.22</v>
      </c>
      <c r="F38">
        <v>66482281.609999999</v>
      </c>
      <c r="G38">
        <v>214.29</v>
      </c>
    </row>
    <row r="39" spans="1:14" x14ac:dyDescent="0.25">
      <c r="A39">
        <v>2024</v>
      </c>
      <c r="B39">
        <v>6</v>
      </c>
      <c r="C39">
        <v>48.95</v>
      </c>
      <c r="D39">
        <v>65487951.380000003</v>
      </c>
      <c r="E39">
        <v>979083.91</v>
      </c>
      <c r="F39">
        <v>66467035.299999997</v>
      </c>
      <c r="G39">
        <v>214.24</v>
      </c>
    </row>
    <row r="40" spans="1:14" x14ac:dyDescent="0.25">
      <c r="K40" t="s">
        <v>19</v>
      </c>
      <c r="L40" t="s">
        <v>20</v>
      </c>
      <c r="M40" t="s">
        <v>21</v>
      </c>
      <c r="N40" t="s">
        <v>22</v>
      </c>
    </row>
    <row r="41" spans="1:14" x14ac:dyDescent="0.25">
      <c r="A41" s="2" t="s">
        <v>11</v>
      </c>
      <c r="B41" s="2"/>
      <c r="C41" s="2"/>
      <c r="D41" s="2"/>
      <c r="E41" s="2"/>
      <c r="F41" s="2"/>
      <c r="G41" s="2"/>
      <c r="J41">
        <v>2019</v>
      </c>
      <c r="K41" s="1">
        <f>B3</f>
        <v>16</v>
      </c>
      <c r="L41" s="1">
        <f>B13</f>
        <v>21</v>
      </c>
      <c r="M41" s="1">
        <f>B23</f>
        <v>23</v>
      </c>
      <c r="N41" s="1">
        <f>B34</f>
        <v>24</v>
      </c>
    </row>
    <row r="42" spans="1:14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>
        <f>SUM(B43:B48)</f>
        <v>60</v>
      </c>
      <c r="J42">
        <v>2020</v>
      </c>
      <c r="K42" s="1">
        <f t="shared" ref="K42:K46" si="0">B4</f>
        <v>13</v>
      </c>
      <c r="L42" s="1">
        <f t="shared" ref="L42:L46" si="1">B14</f>
        <v>13</v>
      </c>
      <c r="M42" s="1">
        <f t="shared" ref="M42:M46" si="2">B24</f>
        <v>19</v>
      </c>
      <c r="N42" s="1">
        <f t="shared" ref="N42:N46" si="3">B35</f>
        <v>17</v>
      </c>
    </row>
    <row r="43" spans="1:14" x14ac:dyDescent="0.25">
      <c r="A43" s="1">
        <v>2019</v>
      </c>
      <c r="B43" s="1">
        <v>16</v>
      </c>
      <c r="C43" s="1">
        <v>102.06</v>
      </c>
      <c r="D43" s="1">
        <v>67185867.459999993</v>
      </c>
      <c r="E43" s="1">
        <v>2041276.89</v>
      </c>
      <c r="F43" s="1">
        <v>69227144.349999994</v>
      </c>
      <c r="G43" s="1">
        <v>223.13</v>
      </c>
      <c r="J43">
        <v>2021</v>
      </c>
      <c r="K43" s="1">
        <f t="shared" si="0"/>
        <v>8</v>
      </c>
      <c r="L43" s="1">
        <f t="shared" si="1"/>
        <v>9</v>
      </c>
      <c r="M43" s="1">
        <f t="shared" si="2"/>
        <v>13</v>
      </c>
      <c r="N43" s="1">
        <f t="shared" si="3"/>
        <v>12</v>
      </c>
    </row>
    <row r="44" spans="1:14" x14ac:dyDescent="0.25">
      <c r="A44" s="1">
        <v>2020</v>
      </c>
      <c r="B44" s="1">
        <v>13</v>
      </c>
      <c r="C44" s="1">
        <v>101.24</v>
      </c>
      <c r="D44" s="1">
        <v>67185867.459999993</v>
      </c>
      <c r="E44" s="1">
        <v>2024769.07</v>
      </c>
      <c r="F44" s="1">
        <v>69210636.530000001</v>
      </c>
      <c r="G44" s="1">
        <v>223.08</v>
      </c>
      <c r="J44">
        <v>2022</v>
      </c>
      <c r="K44" s="1">
        <f t="shared" si="0"/>
        <v>13</v>
      </c>
      <c r="L44" s="1">
        <f t="shared" si="1"/>
        <v>17</v>
      </c>
      <c r="M44" s="1">
        <f t="shared" si="2"/>
        <v>28</v>
      </c>
      <c r="N44" s="1">
        <f t="shared" si="3"/>
        <v>26</v>
      </c>
    </row>
    <row r="45" spans="1:14" x14ac:dyDescent="0.25">
      <c r="A45" s="1">
        <v>2021</v>
      </c>
      <c r="B45" s="1">
        <v>8</v>
      </c>
      <c r="C45" s="1">
        <v>44.13</v>
      </c>
      <c r="D45" s="1">
        <v>67185867.459999993</v>
      </c>
      <c r="E45" s="1">
        <v>882657.33</v>
      </c>
      <c r="F45" s="1">
        <v>68068524.799999997</v>
      </c>
      <c r="G45" s="1">
        <v>219.4</v>
      </c>
      <c r="J45">
        <v>2023</v>
      </c>
      <c r="K45" s="1">
        <f t="shared" si="0"/>
        <v>5</v>
      </c>
      <c r="L45" s="1">
        <f t="shared" si="1"/>
        <v>4</v>
      </c>
      <c r="M45" s="1">
        <f t="shared" si="2"/>
        <v>8</v>
      </c>
      <c r="N45" s="1">
        <f t="shared" si="3"/>
        <v>5</v>
      </c>
    </row>
    <row r="46" spans="1:14" x14ac:dyDescent="0.25">
      <c r="A46" s="1">
        <v>2022</v>
      </c>
      <c r="B46" s="1">
        <v>13</v>
      </c>
      <c r="C46" s="1">
        <v>388.59</v>
      </c>
      <c r="D46" s="1">
        <v>67185867.459999993</v>
      </c>
      <c r="E46" s="1">
        <v>7771744.8899999997</v>
      </c>
      <c r="F46" s="1">
        <v>74957612.349999994</v>
      </c>
      <c r="G46" s="1">
        <v>241.6</v>
      </c>
      <c r="J46">
        <v>2024</v>
      </c>
      <c r="K46" s="1">
        <f t="shared" si="0"/>
        <v>5</v>
      </c>
      <c r="L46" s="1">
        <f t="shared" si="1"/>
        <v>4</v>
      </c>
      <c r="M46" s="1">
        <f t="shared" si="2"/>
        <v>7</v>
      </c>
      <c r="N46" s="1">
        <f t="shared" si="3"/>
        <v>6</v>
      </c>
    </row>
    <row r="47" spans="1:14" x14ac:dyDescent="0.25">
      <c r="A47" s="1">
        <v>2023</v>
      </c>
      <c r="B47" s="1">
        <v>5</v>
      </c>
      <c r="C47" s="1">
        <v>39.729999999999997</v>
      </c>
      <c r="D47" s="1">
        <v>67185867.459999993</v>
      </c>
      <c r="E47" s="1">
        <v>794698.67</v>
      </c>
      <c r="F47" s="1">
        <v>67980566.129999995</v>
      </c>
      <c r="G47" s="1">
        <v>219.12</v>
      </c>
    </row>
    <row r="48" spans="1:14" x14ac:dyDescent="0.25">
      <c r="A48" s="1">
        <v>2024</v>
      </c>
      <c r="B48" s="1">
        <v>5</v>
      </c>
      <c r="C48" s="1">
        <v>40.47</v>
      </c>
      <c r="D48" s="1">
        <v>67185867.459999993</v>
      </c>
      <c r="E48" s="1">
        <v>809376.09</v>
      </c>
      <c r="F48" s="1">
        <v>67995243.549999997</v>
      </c>
      <c r="G48" s="1">
        <v>219.16</v>
      </c>
    </row>
    <row r="51" spans="1:8" x14ac:dyDescent="0.25">
      <c r="A51" s="2" t="s">
        <v>12</v>
      </c>
      <c r="B51" s="2"/>
      <c r="C51" s="2"/>
      <c r="D51" s="2"/>
      <c r="E51" s="2"/>
      <c r="F51" s="2"/>
      <c r="G51" s="2"/>
    </row>
    <row r="52" spans="1: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>
        <f>SUM(B53:B58)</f>
        <v>68</v>
      </c>
    </row>
    <row r="53" spans="1:8" x14ac:dyDescent="0.25">
      <c r="A53">
        <v>2019</v>
      </c>
      <c r="B53">
        <v>21</v>
      </c>
      <c r="C53">
        <v>381.14</v>
      </c>
      <c r="D53">
        <v>66402609.990000002</v>
      </c>
      <c r="E53">
        <v>7622896.8399999999</v>
      </c>
      <c r="F53">
        <v>74025506.829999998</v>
      </c>
      <c r="G53">
        <v>238.6</v>
      </c>
    </row>
    <row r="54" spans="1:8" x14ac:dyDescent="0.25">
      <c r="A54">
        <v>2020</v>
      </c>
      <c r="B54">
        <v>13</v>
      </c>
      <c r="C54">
        <v>116.54</v>
      </c>
      <c r="D54">
        <v>66402609.990000002</v>
      </c>
      <c r="E54">
        <v>2330884.7999999998</v>
      </c>
      <c r="F54">
        <v>68733494.790000007</v>
      </c>
      <c r="G54">
        <v>221.54</v>
      </c>
    </row>
    <row r="55" spans="1:8" x14ac:dyDescent="0.25">
      <c r="A55">
        <v>2021</v>
      </c>
      <c r="B55">
        <v>9</v>
      </c>
      <c r="C55">
        <v>49.08</v>
      </c>
      <c r="D55">
        <v>66402609.990000002</v>
      </c>
      <c r="E55">
        <v>981584.8</v>
      </c>
      <c r="F55">
        <v>67384194.790000007</v>
      </c>
      <c r="G55">
        <v>217.19</v>
      </c>
    </row>
    <row r="56" spans="1:8" x14ac:dyDescent="0.25">
      <c r="A56">
        <v>2022</v>
      </c>
      <c r="B56">
        <v>17</v>
      </c>
      <c r="C56">
        <v>496.58</v>
      </c>
      <c r="D56">
        <v>66402609.990000002</v>
      </c>
      <c r="E56">
        <v>9931573.5999999996</v>
      </c>
      <c r="F56">
        <v>76334183.590000004</v>
      </c>
      <c r="G56">
        <v>246.04</v>
      </c>
    </row>
    <row r="57" spans="1:8" x14ac:dyDescent="0.25">
      <c r="A57">
        <v>2023</v>
      </c>
      <c r="B57">
        <v>4</v>
      </c>
      <c r="C57">
        <v>28.96</v>
      </c>
      <c r="D57">
        <v>66402609.990000002</v>
      </c>
      <c r="E57">
        <v>579159.78</v>
      </c>
      <c r="F57">
        <v>66981769.759999998</v>
      </c>
      <c r="G57">
        <v>215.9</v>
      </c>
    </row>
    <row r="58" spans="1:8" x14ac:dyDescent="0.25">
      <c r="A58">
        <v>2024</v>
      </c>
      <c r="B58">
        <v>4</v>
      </c>
      <c r="C58">
        <v>17.75</v>
      </c>
      <c r="D58">
        <v>66402609.990000002</v>
      </c>
      <c r="E58">
        <v>355083.02</v>
      </c>
      <c r="F58">
        <v>66757693.009999998</v>
      </c>
      <c r="G58">
        <v>215.17</v>
      </c>
    </row>
    <row r="72" spans="10:14" x14ac:dyDescent="0.25">
      <c r="K72" t="s">
        <v>38</v>
      </c>
      <c r="L72" t="s">
        <v>20</v>
      </c>
      <c r="M72" t="s">
        <v>21</v>
      </c>
      <c r="N72" t="s">
        <v>31</v>
      </c>
    </row>
    <row r="73" spans="10:14" x14ac:dyDescent="0.25">
      <c r="J73" t="s">
        <v>18</v>
      </c>
      <c r="K73" s="1">
        <f>SUM(K41:K46)</f>
        <v>60</v>
      </c>
      <c r="L73" s="1">
        <f>SUM(L41:L46)</f>
        <v>68</v>
      </c>
      <c r="M73" s="1">
        <f>SUM(M41:M46)</f>
        <v>98</v>
      </c>
      <c r="N73" s="1">
        <f>SUM(N41:N46)</f>
        <v>90</v>
      </c>
    </row>
  </sheetData>
  <mergeCells count="6">
    <mergeCell ref="A51:G51"/>
    <mergeCell ref="A1:G1"/>
    <mergeCell ref="A11:G11"/>
    <mergeCell ref="A21:G21"/>
    <mergeCell ref="A32:G32"/>
    <mergeCell ref="A41:G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6BE8-1C4A-4500-A066-9D3BFD292558}">
  <dimension ref="A1:N73"/>
  <sheetViews>
    <sheetView topLeftCell="A55" workbookViewId="0">
      <selection activeCell="H88" sqref="H88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54</v>
      </c>
    </row>
    <row r="3" spans="1:8" x14ac:dyDescent="0.25">
      <c r="A3">
        <v>2019</v>
      </c>
      <c r="B3">
        <v>4</v>
      </c>
      <c r="C3">
        <v>31.05</v>
      </c>
      <c r="D3">
        <v>64646654.520000003</v>
      </c>
      <c r="E3">
        <v>620987.11</v>
      </c>
      <c r="F3">
        <v>65267641.630000003</v>
      </c>
      <c r="G3">
        <v>210.37</v>
      </c>
    </row>
    <row r="4" spans="1:8" x14ac:dyDescent="0.25">
      <c r="A4">
        <v>2020</v>
      </c>
      <c r="B4">
        <v>9</v>
      </c>
      <c r="C4">
        <v>248.49</v>
      </c>
      <c r="D4">
        <v>64646654.520000003</v>
      </c>
      <c r="E4">
        <v>4969863.1100000003</v>
      </c>
      <c r="F4">
        <v>69616517.629999995</v>
      </c>
      <c r="G4">
        <v>224.39</v>
      </c>
    </row>
    <row r="5" spans="1:8" x14ac:dyDescent="0.25">
      <c r="A5">
        <v>2021</v>
      </c>
      <c r="B5">
        <v>9</v>
      </c>
      <c r="C5">
        <v>248.72</v>
      </c>
      <c r="D5">
        <v>64646654.520000003</v>
      </c>
      <c r="E5">
        <v>4974318.8899999997</v>
      </c>
      <c r="F5">
        <v>69620973.409999996</v>
      </c>
      <c r="G5">
        <v>224.4</v>
      </c>
    </row>
    <row r="6" spans="1:8" x14ac:dyDescent="0.25">
      <c r="A6">
        <v>2022</v>
      </c>
      <c r="B6">
        <v>26</v>
      </c>
      <c r="C6">
        <v>1054.8</v>
      </c>
      <c r="D6">
        <v>64646654.520000003</v>
      </c>
      <c r="E6">
        <v>21095969.469999999</v>
      </c>
      <c r="F6">
        <v>85742623.989999995</v>
      </c>
      <c r="G6">
        <v>276.37</v>
      </c>
    </row>
    <row r="7" spans="1:8" x14ac:dyDescent="0.25">
      <c r="A7">
        <v>2023</v>
      </c>
      <c r="B7">
        <v>3</v>
      </c>
      <c r="C7">
        <v>7.25</v>
      </c>
      <c r="D7">
        <v>64646654.520000003</v>
      </c>
      <c r="E7">
        <v>145090</v>
      </c>
      <c r="F7">
        <v>64791744.520000003</v>
      </c>
      <c r="G7">
        <v>208.84</v>
      </c>
    </row>
    <row r="8" spans="1:8" x14ac:dyDescent="0.25">
      <c r="A8">
        <v>2024</v>
      </c>
      <c r="B8">
        <v>3</v>
      </c>
      <c r="C8">
        <v>99.28</v>
      </c>
      <c r="D8">
        <v>64646654.520000003</v>
      </c>
      <c r="E8">
        <v>1985641.91</v>
      </c>
      <c r="F8">
        <v>66632296.43</v>
      </c>
      <c r="G8">
        <v>214.77</v>
      </c>
    </row>
    <row r="11" spans="1:8" x14ac:dyDescent="0.25">
      <c r="A11" s="2" t="s">
        <v>8</v>
      </c>
      <c r="B11" s="2"/>
      <c r="C11" s="2"/>
      <c r="D11" s="2"/>
      <c r="E11" s="2"/>
      <c r="F11" s="2"/>
      <c r="G11" s="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>
        <f>SUM(B13:B18)</f>
        <v>65</v>
      </c>
    </row>
    <row r="13" spans="1:8" x14ac:dyDescent="0.25">
      <c r="A13">
        <v>2019</v>
      </c>
      <c r="B13">
        <v>8</v>
      </c>
      <c r="C13">
        <v>66.34</v>
      </c>
      <c r="D13">
        <v>64137771.939999998</v>
      </c>
      <c r="E13">
        <v>1326809.78</v>
      </c>
      <c r="F13">
        <v>65464581.719999999</v>
      </c>
      <c r="G13">
        <v>211.01</v>
      </c>
    </row>
    <row r="14" spans="1:8" x14ac:dyDescent="0.25">
      <c r="A14">
        <v>2020</v>
      </c>
      <c r="B14">
        <v>12</v>
      </c>
      <c r="C14">
        <v>272.01</v>
      </c>
      <c r="D14">
        <v>64137771.939999998</v>
      </c>
      <c r="E14">
        <v>5440295.7800000003</v>
      </c>
      <c r="F14">
        <v>69578067.719999999</v>
      </c>
      <c r="G14">
        <v>224.26</v>
      </c>
    </row>
    <row r="15" spans="1:8" x14ac:dyDescent="0.25">
      <c r="A15">
        <v>2021</v>
      </c>
      <c r="B15">
        <v>10</v>
      </c>
      <c r="C15">
        <v>274.75</v>
      </c>
      <c r="D15">
        <v>64137771.939999998</v>
      </c>
      <c r="E15">
        <v>5495093.7800000003</v>
      </c>
      <c r="F15">
        <v>69632865.719999999</v>
      </c>
      <c r="G15">
        <v>224.44</v>
      </c>
    </row>
    <row r="16" spans="1:8" x14ac:dyDescent="0.25">
      <c r="A16">
        <v>2022</v>
      </c>
      <c r="B16">
        <v>26</v>
      </c>
      <c r="C16">
        <v>1115.57</v>
      </c>
      <c r="D16">
        <v>64137771.939999998</v>
      </c>
      <c r="E16">
        <v>22311466.670000002</v>
      </c>
      <c r="F16">
        <v>86449238.609999999</v>
      </c>
      <c r="G16">
        <v>278.64</v>
      </c>
    </row>
    <row r="17" spans="1:8" x14ac:dyDescent="0.25">
      <c r="A17">
        <v>2023</v>
      </c>
      <c r="B17">
        <v>3</v>
      </c>
      <c r="C17">
        <v>17.940000000000001</v>
      </c>
      <c r="D17">
        <v>64137771.939999998</v>
      </c>
      <c r="E17">
        <v>358900</v>
      </c>
      <c r="F17">
        <v>64496671.939999998</v>
      </c>
      <c r="G17">
        <v>207.89</v>
      </c>
    </row>
    <row r="18" spans="1:8" x14ac:dyDescent="0.25">
      <c r="A18">
        <v>2024</v>
      </c>
      <c r="B18">
        <v>6</v>
      </c>
      <c r="C18">
        <v>127.6</v>
      </c>
      <c r="D18">
        <v>64137771.939999998</v>
      </c>
      <c r="E18">
        <v>2552096.89</v>
      </c>
      <c r="F18">
        <v>66689868.829999998</v>
      </c>
      <c r="G18">
        <v>214.96</v>
      </c>
    </row>
    <row r="21" spans="1:8" x14ac:dyDescent="0.25">
      <c r="A21" s="2" t="s">
        <v>9</v>
      </c>
      <c r="B21" s="2"/>
      <c r="C21" s="2"/>
      <c r="D21" s="2"/>
      <c r="E21" s="2"/>
      <c r="F21" s="2"/>
      <c r="G21" s="2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>
        <f>SUM(B23:B28)</f>
        <v>65</v>
      </c>
    </row>
    <row r="23" spans="1:8" x14ac:dyDescent="0.25">
      <c r="A23">
        <v>2019</v>
      </c>
      <c r="B23">
        <v>8</v>
      </c>
      <c r="C23">
        <v>66.34</v>
      </c>
      <c r="D23">
        <v>64137771.939999998</v>
      </c>
      <c r="E23">
        <v>1326809.78</v>
      </c>
      <c r="F23">
        <v>65464581.719999999</v>
      </c>
      <c r="G23">
        <v>211.01</v>
      </c>
    </row>
    <row r="24" spans="1:8" x14ac:dyDescent="0.25">
      <c r="A24">
        <v>2020</v>
      </c>
      <c r="B24">
        <v>12</v>
      </c>
      <c r="C24">
        <v>272.01</v>
      </c>
      <c r="D24">
        <v>64137771.939999998</v>
      </c>
      <c r="E24">
        <v>5440295.7800000003</v>
      </c>
      <c r="F24">
        <v>69578067.719999999</v>
      </c>
      <c r="G24">
        <v>224.26</v>
      </c>
    </row>
    <row r="25" spans="1:8" x14ac:dyDescent="0.25">
      <c r="A25">
        <v>2021</v>
      </c>
      <c r="B25">
        <v>10</v>
      </c>
      <c r="C25">
        <v>274.75</v>
      </c>
      <c r="D25">
        <v>64137771.939999998</v>
      </c>
      <c r="E25">
        <v>5495093.7800000003</v>
      </c>
      <c r="F25">
        <v>69632865.719999999</v>
      </c>
      <c r="G25">
        <v>224.44</v>
      </c>
    </row>
    <row r="26" spans="1:8" x14ac:dyDescent="0.25">
      <c r="A26">
        <v>2022</v>
      </c>
      <c r="B26">
        <v>26</v>
      </c>
      <c r="C26">
        <v>1115.57</v>
      </c>
      <c r="D26">
        <v>64137771.939999998</v>
      </c>
      <c r="E26">
        <v>22311466.670000002</v>
      </c>
      <c r="F26">
        <v>86449238.609999999</v>
      </c>
      <c r="G26">
        <v>278.64</v>
      </c>
    </row>
    <row r="27" spans="1:8" x14ac:dyDescent="0.25">
      <c r="A27">
        <v>2023</v>
      </c>
      <c r="B27">
        <v>3</v>
      </c>
      <c r="C27">
        <v>17.940000000000001</v>
      </c>
      <c r="D27">
        <v>64137771.939999998</v>
      </c>
      <c r="E27">
        <v>358900</v>
      </c>
      <c r="F27">
        <v>64496671.939999998</v>
      </c>
      <c r="G27">
        <v>207.89</v>
      </c>
    </row>
    <row r="28" spans="1:8" x14ac:dyDescent="0.25">
      <c r="A28">
        <v>2024</v>
      </c>
      <c r="B28">
        <v>6</v>
      </c>
      <c r="C28">
        <v>127.6</v>
      </c>
      <c r="D28">
        <v>64137771.939999998</v>
      </c>
      <c r="E28">
        <v>2552096.89</v>
      </c>
      <c r="F28">
        <v>66689868.829999998</v>
      </c>
      <c r="G28">
        <v>214.96</v>
      </c>
    </row>
    <row r="32" spans="1:8" x14ac:dyDescent="0.25">
      <c r="A32" s="2" t="s">
        <v>10</v>
      </c>
      <c r="B32" s="2"/>
      <c r="C32" s="2"/>
      <c r="D32" s="2"/>
      <c r="E32" s="2"/>
      <c r="F32" s="2"/>
      <c r="G32" s="2"/>
    </row>
    <row r="33" spans="1:14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>
        <f>SUM(B34:B39)</f>
        <v>65</v>
      </c>
    </row>
    <row r="34" spans="1:14" x14ac:dyDescent="0.25">
      <c r="A34">
        <v>2019</v>
      </c>
      <c r="B34">
        <v>8</v>
      </c>
      <c r="C34">
        <v>66.34</v>
      </c>
      <c r="D34">
        <v>64137771.939999998</v>
      </c>
      <c r="E34">
        <v>1326809.78</v>
      </c>
      <c r="F34">
        <v>65464581.719999999</v>
      </c>
      <c r="G34">
        <v>211.01</v>
      </c>
    </row>
    <row r="35" spans="1:14" x14ac:dyDescent="0.25">
      <c r="A35">
        <v>2020</v>
      </c>
      <c r="B35">
        <v>12</v>
      </c>
      <c r="C35">
        <v>272.01</v>
      </c>
      <c r="D35">
        <v>64137771.939999998</v>
      </c>
      <c r="E35">
        <v>5440295.7800000003</v>
      </c>
      <c r="F35">
        <v>69578067.719999999</v>
      </c>
      <c r="G35">
        <v>224.26</v>
      </c>
    </row>
    <row r="36" spans="1:14" x14ac:dyDescent="0.25">
      <c r="A36">
        <v>2021</v>
      </c>
      <c r="B36">
        <v>10</v>
      </c>
      <c r="C36">
        <v>274.75</v>
      </c>
      <c r="D36">
        <v>64137771.939999998</v>
      </c>
      <c r="E36">
        <v>5495093.7800000003</v>
      </c>
      <c r="F36">
        <v>69632865.719999999</v>
      </c>
      <c r="G36">
        <v>224.44</v>
      </c>
    </row>
    <row r="37" spans="1:14" x14ac:dyDescent="0.25">
      <c r="A37">
        <v>2022</v>
      </c>
      <c r="B37">
        <v>26</v>
      </c>
      <c r="C37">
        <v>1115.57</v>
      </c>
      <c r="D37">
        <v>64137771.939999998</v>
      </c>
      <c r="E37">
        <v>22311466.670000002</v>
      </c>
      <c r="F37">
        <v>86449238.609999999</v>
      </c>
      <c r="G37">
        <v>278.64</v>
      </c>
    </row>
    <row r="38" spans="1:14" x14ac:dyDescent="0.25">
      <c r="A38">
        <v>2023</v>
      </c>
      <c r="B38">
        <v>3</v>
      </c>
      <c r="C38">
        <v>17.940000000000001</v>
      </c>
      <c r="D38">
        <v>64137771.939999998</v>
      </c>
      <c r="E38">
        <v>358900</v>
      </c>
      <c r="F38">
        <v>64496671.939999998</v>
      </c>
      <c r="G38">
        <v>207.89</v>
      </c>
    </row>
    <row r="39" spans="1:14" x14ac:dyDescent="0.25">
      <c r="A39">
        <v>2024</v>
      </c>
      <c r="B39">
        <v>6</v>
      </c>
      <c r="C39">
        <v>127.6</v>
      </c>
      <c r="D39">
        <v>64137771.939999998</v>
      </c>
      <c r="E39">
        <v>2552096.89</v>
      </c>
      <c r="F39">
        <v>66689868.829999998</v>
      </c>
      <c r="G39">
        <v>214.96</v>
      </c>
    </row>
    <row r="40" spans="1:14" x14ac:dyDescent="0.25">
      <c r="K40" t="s">
        <v>13</v>
      </c>
      <c r="L40" t="s">
        <v>25</v>
      </c>
      <c r="M40" t="s">
        <v>16</v>
      </c>
      <c r="N40" t="s">
        <v>26</v>
      </c>
    </row>
    <row r="41" spans="1:14" x14ac:dyDescent="0.25">
      <c r="A41" s="2" t="s">
        <v>11</v>
      </c>
      <c r="B41" s="2"/>
      <c r="C41" s="2"/>
      <c r="D41" s="2"/>
      <c r="E41" s="2"/>
      <c r="F41" s="2"/>
      <c r="G41" s="2"/>
      <c r="J41">
        <v>2019</v>
      </c>
      <c r="K41" s="1">
        <f>B3</f>
        <v>4</v>
      </c>
      <c r="L41" s="1">
        <f>B13</f>
        <v>8</v>
      </c>
      <c r="M41" s="1">
        <f>B43</f>
        <v>4</v>
      </c>
      <c r="N41" s="1">
        <f>B53</f>
        <v>4</v>
      </c>
    </row>
    <row r="42" spans="1:14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>
        <f>SUM(B43:B48)</f>
        <v>47</v>
      </c>
      <c r="J42">
        <v>2020</v>
      </c>
      <c r="K42" s="1">
        <f t="shared" ref="K42:K46" si="0">B4</f>
        <v>9</v>
      </c>
      <c r="L42" s="1">
        <f t="shared" ref="L42:L46" si="1">B14</f>
        <v>12</v>
      </c>
      <c r="M42" s="1">
        <f t="shared" ref="M42:M46" si="2">B44</f>
        <v>7</v>
      </c>
      <c r="N42" s="1">
        <f t="shared" ref="N42:N46" si="3">B54</f>
        <v>9</v>
      </c>
    </row>
    <row r="43" spans="1:14" x14ac:dyDescent="0.25">
      <c r="A43">
        <v>2019</v>
      </c>
      <c r="B43">
        <v>4</v>
      </c>
      <c r="C43">
        <v>12.55</v>
      </c>
      <c r="D43">
        <v>65265817.759999998</v>
      </c>
      <c r="E43">
        <v>251039.11</v>
      </c>
      <c r="F43">
        <v>65516856.869999997</v>
      </c>
      <c r="G43">
        <v>211.17</v>
      </c>
      <c r="J43">
        <v>2021</v>
      </c>
      <c r="K43" s="1">
        <f t="shared" si="0"/>
        <v>9</v>
      </c>
      <c r="L43" s="1">
        <f t="shared" si="1"/>
        <v>10</v>
      </c>
      <c r="M43" s="1">
        <f t="shared" si="2"/>
        <v>8</v>
      </c>
      <c r="N43" s="1">
        <f t="shared" si="3"/>
        <v>9</v>
      </c>
    </row>
    <row r="44" spans="1:14" x14ac:dyDescent="0.25">
      <c r="A44">
        <v>2020</v>
      </c>
      <c r="B44">
        <v>7</v>
      </c>
      <c r="C44">
        <v>205.96</v>
      </c>
      <c r="D44">
        <v>65265817.759999998</v>
      </c>
      <c r="E44">
        <v>4119139.47</v>
      </c>
      <c r="F44">
        <v>69384957.230000004</v>
      </c>
      <c r="G44">
        <v>223.64</v>
      </c>
      <c r="J44">
        <v>2022</v>
      </c>
      <c r="K44" s="1">
        <f t="shared" si="0"/>
        <v>26</v>
      </c>
      <c r="L44" s="1">
        <f t="shared" si="1"/>
        <v>26</v>
      </c>
      <c r="M44" s="1">
        <f t="shared" si="2"/>
        <v>21</v>
      </c>
      <c r="N44" s="1">
        <f t="shared" si="3"/>
        <v>26</v>
      </c>
    </row>
    <row r="45" spans="1:14" x14ac:dyDescent="0.25">
      <c r="A45">
        <v>2021</v>
      </c>
      <c r="B45">
        <v>8</v>
      </c>
      <c r="C45">
        <v>220.7</v>
      </c>
      <c r="D45">
        <v>65265817.759999998</v>
      </c>
      <c r="E45">
        <v>4414044.53</v>
      </c>
      <c r="F45">
        <v>69679862.290000007</v>
      </c>
      <c r="G45">
        <v>224.59</v>
      </c>
      <c r="J45">
        <v>2023</v>
      </c>
      <c r="K45" s="1">
        <f t="shared" si="0"/>
        <v>3</v>
      </c>
      <c r="L45" s="1">
        <f t="shared" si="1"/>
        <v>3</v>
      </c>
      <c r="M45" s="1">
        <f t="shared" si="2"/>
        <v>3</v>
      </c>
      <c r="N45" s="1">
        <f t="shared" si="3"/>
        <v>3</v>
      </c>
    </row>
    <row r="46" spans="1:14" x14ac:dyDescent="0.25">
      <c r="A46">
        <v>2022</v>
      </c>
      <c r="B46">
        <v>21</v>
      </c>
      <c r="C46">
        <v>902.09</v>
      </c>
      <c r="D46">
        <v>65265817.759999998</v>
      </c>
      <c r="E46">
        <v>18041876</v>
      </c>
      <c r="F46">
        <v>83307693.760000005</v>
      </c>
      <c r="G46">
        <v>268.52</v>
      </c>
      <c r="J46">
        <v>2024</v>
      </c>
      <c r="K46" s="1">
        <f t="shared" si="0"/>
        <v>3</v>
      </c>
      <c r="L46" s="1">
        <f t="shared" si="1"/>
        <v>6</v>
      </c>
      <c r="M46" s="1">
        <f t="shared" si="2"/>
        <v>4</v>
      </c>
      <c r="N46" s="1">
        <f t="shared" si="3"/>
        <v>3</v>
      </c>
    </row>
    <row r="47" spans="1:14" x14ac:dyDescent="0.25">
      <c r="A47">
        <v>2023</v>
      </c>
      <c r="B47">
        <v>3</v>
      </c>
      <c r="C47">
        <v>8.73</v>
      </c>
      <c r="D47">
        <v>65265817.759999998</v>
      </c>
      <c r="E47">
        <v>174570</v>
      </c>
      <c r="F47">
        <v>65440387.759999998</v>
      </c>
      <c r="G47">
        <v>210.93</v>
      </c>
    </row>
    <row r="48" spans="1:14" x14ac:dyDescent="0.25">
      <c r="A48">
        <v>2024</v>
      </c>
      <c r="B48">
        <v>4</v>
      </c>
      <c r="C48">
        <v>90.95</v>
      </c>
      <c r="D48">
        <v>65265817.759999998</v>
      </c>
      <c r="E48">
        <v>1819036.13</v>
      </c>
      <c r="F48">
        <v>67084853.890000001</v>
      </c>
      <c r="G48">
        <v>216.23</v>
      </c>
    </row>
    <row r="51" spans="1:8" x14ac:dyDescent="0.25">
      <c r="A51" s="2" t="s">
        <v>12</v>
      </c>
      <c r="B51" s="2"/>
      <c r="C51" s="2"/>
      <c r="D51" s="2"/>
      <c r="E51" s="2"/>
      <c r="F51" s="2"/>
      <c r="G51" s="2"/>
    </row>
    <row r="52" spans="1: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>
        <f>SUM(B53:B58)</f>
        <v>54</v>
      </c>
    </row>
    <row r="53" spans="1:8" x14ac:dyDescent="0.25">
      <c r="A53">
        <v>2019</v>
      </c>
      <c r="B53">
        <v>4</v>
      </c>
      <c r="C53">
        <v>31.05</v>
      </c>
      <c r="D53">
        <v>64646654.520000003</v>
      </c>
      <c r="E53">
        <v>620987.11</v>
      </c>
      <c r="F53">
        <v>65267641.630000003</v>
      </c>
      <c r="G53">
        <v>210.37</v>
      </c>
    </row>
    <row r="54" spans="1:8" x14ac:dyDescent="0.25">
      <c r="A54">
        <v>2020</v>
      </c>
      <c r="B54">
        <v>9</v>
      </c>
      <c r="C54">
        <v>248.49</v>
      </c>
      <c r="D54">
        <v>64646654.520000003</v>
      </c>
      <c r="E54">
        <v>4969863.1100000003</v>
      </c>
      <c r="F54">
        <v>69616517.629999995</v>
      </c>
      <c r="G54">
        <v>224.39</v>
      </c>
    </row>
    <row r="55" spans="1:8" x14ac:dyDescent="0.25">
      <c r="A55">
        <v>2021</v>
      </c>
      <c r="B55">
        <v>9</v>
      </c>
      <c r="C55">
        <v>248.72</v>
      </c>
      <c r="D55">
        <v>64646654.520000003</v>
      </c>
      <c r="E55">
        <v>4974318.8899999997</v>
      </c>
      <c r="F55">
        <v>69620973.409999996</v>
      </c>
      <c r="G55">
        <v>224.4</v>
      </c>
    </row>
    <row r="56" spans="1:8" x14ac:dyDescent="0.25">
      <c r="A56">
        <v>2022</v>
      </c>
      <c r="B56">
        <v>26</v>
      </c>
      <c r="C56">
        <v>1054.8</v>
      </c>
      <c r="D56">
        <v>64646654.520000003</v>
      </c>
      <c r="E56">
        <v>21095969.469999999</v>
      </c>
      <c r="F56">
        <v>85742623.989999995</v>
      </c>
      <c r="G56">
        <v>276.37</v>
      </c>
    </row>
    <row r="57" spans="1:8" x14ac:dyDescent="0.25">
      <c r="A57">
        <v>2023</v>
      </c>
      <c r="B57">
        <v>3</v>
      </c>
      <c r="C57">
        <v>7.25</v>
      </c>
      <c r="D57">
        <v>64646654.520000003</v>
      </c>
      <c r="E57">
        <v>145090</v>
      </c>
      <c r="F57">
        <v>64791744.520000003</v>
      </c>
      <c r="G57">
        <v>208.84</v>
      </c>
    </row>
    <row r="58" spans="1:8" x14ac:dyDescent="0.25">
      <c r="A58">
        <v>2024</v>
      </c>
      <c r="B58">
        <v>3</v>
      </c>
      <c r="C58">
        <v>99.28</v>
      </c>
      <c r="D58">
        <v>64646654.520000003</v>
      </c>
      <c r="E58">
        <v>1985641.91</v>
      </c>
      <c r="F58">
        <v>66632296.43</v>
      </c>
      <c r="G58">
        <v>214.77</v>
      </c>
    </row>
    <row r="72" spans="10:14" x14ac:dyDescent="0.25">
      <c r="K72" t="s">
        <v>30</v>
      </c>
      <c r="L72" t="s">
        <v>37</v>
      </c>
      <c r="M72" t="s">
        <v>16</v>
      </c>
      <c r="N72" t="s">
        <v>26</v>
      </c>
    </row>
    <row r="73" spans="10:14" x14ac:dyDescent="0.25">
      <c r="J73" t="s">
        <v>18</v>
      </c>
      <c r="K73" s="1">
        <f>SUM(K41:K46)</f>
        <v>54</v>
      </c>
      <c r="L73" s="1">
        <f>SUM(L41:L46)</f>
        <v>65</v>
      </c>
      <c r="M73" s="1">
        <f>SUM(M41:M46)</f>
        <v>47</v>
      </c>
      <c r="N73" s="1">
        <f>SUM(N41:N46)</f>
        <v>54</v>
      </c>
    </row>
  </sheetData>
  <mergeCells count="6">
    <mergeCell ref="A51:G51"/>
    <mergeCell ref="A1:G1"/>
    <mergeCell ref="A11:G11"/>
    <mergeCell ref="A21:G21"/>
    <mergeCell ref="A32:G32"/>
    <mergeCell ref="A41:G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EA1A-A5A8-4F84-BADE-CB3BC1F57371}">
  <dimension ref="A1:O73"/>
  <sheetViews>
    <sheetView topLeftCell="A55" workbookViewId="0">
      <selection activeCell="G79" sqref="G79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90</v>
      </c>
    </row>
    <row r="3" spans="1:8" x14ac:dyDescent="0.25">
      <c r="A3">
        <v>2019</v>
      </c>
      <c r="B3">
        <v>3</v>
      </c>
      <c r="C3">
        <v>10.66</v>
      </c>
      <c r="D3">
        <v>71513834.530000001</v>
      </c>
      <c r="E3">
        <v>213100.13</v>
      </c>
      <c r="F3">
        <v>71726934.659999996</v>
      </c>
      <c r="G3">
        <v>231.19</v>
      </c>
    </row>
    <row r="4" spans="1:8" x14ac:dyDescent="0.25">
      <c r="A4">
        <v>2020</v>
      </c>
      <c r="B4">
        <v>9</v>
      </c>
      <c r="C4">
        <v>299.27</v>
      </c>
      <c r="D4">
        <v>71513834.530000001</v>
      </c>
      <c r="E4">
        <v>5985495.29</v>
      </c>
      <c r="F4">
        <v>77499329.819999993</v>
      </c>
      <c r="G4">
        <v>249.8</v>
      </c>
    </row>
    <row r="5" spans="1:8" x14ac:dyDescent="0.25">
      <c r="A5">
        <v>2021</v>
      </c>
      <c r="B5">
        <v>6</v>
      </c>
      <c r="C5">
        <v>185.66</v>
      </c>
      <c r="D5">
        <v>71513834.530000001</v>
      </c>
      <c r="E5">
        <v>3713107.91</v>
      </c>
      <c r="F5">
        <v>75226942.439999998</v>
      </c>
      <c r="G5">
        <v>242.47</v>
      </c>
    </row>
    <row r="6" spans="1:8" x14ac:dyDescent="0.25">
      <c r="A6">
        <v>2022</v>
      </c>
      <c r="B6">
        <v>53</v>
      </c>
      <c r="C6">
        <v>2180.29</v>
      </c>
      <c r="D6">
        <v>71513834.530000001</v>
      </c>
      <c r="E6">
        <v>43605866.710000001</v>
      </c>
      <c r="F6">
        <v>115119701.23999999</v>
      </c>
      <c r="G6">
        <v>371.05</v>
      </c>
    </row>
    <row r="7" spans="1:8" x14ac:dyDescent="0.25">
      <c r="A7">
        <v>2023</v>
      </c>
      <c r="B7">
        <v>7</v>
      </c>
      <c r="C7">
        <v>303.38</v>
      </c>
      <c r="D7">
        <v>71513834.530000001</v>
      </c>
      <c r="E7">
        <v>6067507.0700000003</v>
      </c>
      <c r="F7">
        <v>77581341.590000004</v>
      </c>
      <c r="G7">
        <v>250.06</v>
      </c>
    </row>
    <row r="8" spans="1:8" x14ac:dyDescent="0.25">
      <c r="A8">
        <v>2024</v>
      </c>
      <c r="B8">
        <v>12</v>
      </c>
      <c r="C8">
        <v>263.27</v>
      </c>
      <c r="D8">
        <v>71513834.530000001</v>
      </c>
      <c r="E8">
        <v>5265440.67</v>
      </c>
      <c r="F8">
        <v>76779275.189999998</v>
      </c>
      <c r="G8">
        <v>247.48</v>
      </c>
    </row>
    <row r="11" spans="1:8" x14ac:dyDescent="0.25">
      <c r="A11" s="2" t="s">
        <v>8</v>
      </c>
      <c r="B11" s="2"/>
      <c r="C11" s="2"/>
      <c r="D11" s="2"/>
      <c r="E11" s="2"/>
      <c r="F11" s="2"/>
      <c r="G11" s="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>
        <f>SUM(B13:B18)</f>
        <v>115</v>
      </c>
    </row>
    <row r="13" spans="1:8" x14ac:dyDescent="0.25">
      <c r="A13">
        <v>2019</v>
      </c>
      <c r="B13">
        <v>5</v>
      </c>
      <c r="C13">
        <v>119.07</v>
      </c>
      <c r="D13">
        <v>70272381.989999995</v>
      </c>
      <c r="E13">
        <v>2381459.69</v>
      </c>
      <c r="F13">
        <v>72653841.680000007</v>
      </c>
      <c r="G13">
        <v>234.18</v>
      </c>
    </row>
    <row r="14" spans="1:8" x14ac:dyDescent="0.25">
      <c r="A14">
        <v>2020</v>
      </c>
      <c r="B14">
        <v>11</v>
      </c>
      <c r="C14">
        <v>349.44</v>
      </c>
      <c r="D14">
        <v>70272381.989999995</v>
      </c>
      <c r="E14">
        <v>6988817.0199999996</v>
      </c>
      <c r="F14">
        <v>77261199.010000005</v>
      </c>
      <c r="G14">
        <v>249.03</v>
      </c>
    </row>
    <row r="15" spans="1:8" x14ac:dyDescent="0.25">
      <c r="A15">
        <v>2021</v>
      </c>
      <c r="B15">
        <v>10</v>
      </c>
      <c r="C15">
        <v>247.98</v>
      </c>
      <c r="D15">
        <v>70272381.989999995</v>
      </c>
      <c r="E15">
        <v>4959640</v>
      </c>
      <c r="F15">
        <v>75232021.989999995</v>
      </c>
      <c r="G15">
        <v>242.49</v>
      </c>
    </row>
    <row r="16" spans="1:8" x14ac:dyDescent="0.25">
      <c r="A16">
        <v>2022</v>
      </c>
      <c r="B16">
        <v>64</v>
      </c>
      <c r="C16">
        <v>2538.4</v>
      </c>
      <c r="D16">
        <v>70272381.989999995</v>
      </c>
      <c r="E16">
        <v>50767934.890000001</v>
      </c>
      <c r="F16">
        <v>121040316.88</v>
      </c>
      <c r="G16">
        <v>390.14</v>
      </c>
    </row>
    <row r="17" spans="1:8" x14ac:dyDescent="0.25">
      <c r="A17">
        <v>2023</v>
      </c>
      <c r="B17">
        <v>10</v>
      </c>
      <c r="C17">
        <v>461.39</v>
      </c>
      <c r="D17">
        <v>70272381.989999995</v>
      </c>
      <c r="E17">
        <v>9227858.3599999994</v>
      </c>
      <c r="F17">
        <v>79500240.349999994</v>
      </c>
      <c r="G17">
        <v>256.25</v>
      </c>
    </row>
    <row r="18" spans="1:8" x14ac:dyDescent="0.25">
      <c r="A18">
        <v>2024</v>
      </c>
      <c r="B18">
        <v>15</v>
      </c>
      <c r="C18">
        <v>456.26</v>
      </c>
      <c r="D18">
        <v>70272381.989999995</v>
      </c>
      <c r="E18">
        <v>9125236.4900000002</v>
      </c>
      <c r="F18">
        <v>79397618.480000004</v>
      </c>
      <c r="G18">
        <v>255.91</v>
      </c>
    </row>
    <row r="21" spans="1:8" x14ac:dyDescent="0.25">
      <c r="A21" s="2" t="s">
        <v>9</v>
      </c>
      <c r="B21" s="2"/>
      <c r="C21" s="2"/>
      <c r="D21" s="2"/>
      <c r="E21" s="2"/>
      <c r="F21" s="2"/>
      <c r="G21" s="2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>
        <f>SUM(B23:B28)</f>
        <v>104</v>
      </c>
    </row>
    <row r="23" spans="1:8" x14ac:dyDescent="0.25">
      <c r="A23">
        <v>2019</v>
      </c>
      <c r="B23">
        <v>6</v>
      </c>
      <c r="C23">
        <v>25.43</v>
      </c>
      <c r="D23">
        <v>71052987.680000007</v>
      </c>
      <c r="E23">
        <v>508538.49</v>
      </c>
      <c r="F23">
        <v>71561526.159999996</v>
      </c>
      <c r="G23">
        <v>230.66</v>
      </c>
    </row>
    <row r="24" spans="1:8" x14ac:dyDescent="0.25">
      <c r="A24">
        <v>2020</v>
      </c>
      <c r="B24">
        <v>9</v>
      </c>
      <c r="C24">
        <v>322.58</v>
      </c>
      <c r="D24">
        <v>71052987.680000007</v>
      </c>
      <c r="E24">
        <v>6451574.3099999996</v>
      </c>
      <c r="F24">
        <v>77504561.989999995</v>
      </c>
      <c r="G24">
        <v>249.81</v>
      </c>
    </row>
    <row r="25" spans="1:8" x14ac:dyDescent="0.25">
      <c r="A25">
        <v>2021</v>
      </c>
      <c r="B25">
        <v>7</v>
      </c>
      <c r="C25">
        <v>209</v>
      </c>
      <c r="D25">
        <v>71052987.680000007</v>
      </c>
      <c r="E25">
        <v>4180038.09</v>
      </c>
      <c r="F25">
        <v>75233025.760000005</v>
      </c>
      <c r="G25">
        <v>242.49</v>
      </c>
    </row>
    <row r="26" spans="1:8" x14ac:dyDescent="0.25">
      <c r="A26">
        <v>2022</v>
      </c>
      <c r="B26">
        <v>58</v>
      </c>
      <c r="C26">
        <v>2248.89</v>
      </c>
      <c r="D26">
        <v>71052987.680000007</v>
      </c>
      <c r="E26">
        <v>44977768.890000001</v>
      </c>
      <c r="F26">
        <v>116030756.56</v>
      </c>
      <c r="G26">
        <v>373.99</v>
      </c>
    </row>
    <row r="27" spans="1:8" x14ac:dyDescent="0.25">
      <c r="A27">
        <v>2023</v>
      </c>
      <c r="B27">
        <v>7</v>
      </c>
      <c r="C27">
        <v>332.89</v>
      </c>
      <c r="D27">
        <v>71052987.680000007</v>
      </c>
      <c r="E27">
        <v>6657872.6200000001</v>
      </c>
      <c r="F27">
        <v>77710860.299999997</v>
      </c>
      <c r="G27">
        <v>250.48</v>
      </c>
    </row>
    <row r="28" spans="1:8" x14ac:dyDescent="0.25">
      <c r="A28">
        <v>2024</v>
      </c>
      <c r="B28">
        <v>17</v>
      </c>
      <c r="C28">
        <v>305.92</v>
      </c>
      <c r="D28">
        <v>71052987.680000007</v>
      </c>
      <c r="E28">
        <v>6118428.5800000001</v>
      </c>
      <c r="F28">
        <v>77171416.25</v>
      </c>
      <c r="G28">
        <v>248.74</v>
      </c>
    </row>
    <row r="32" spans="1:8" x14ac:dyDescent="0.25">
      <c r="A32" s="2" t="s">
        <v>10</v>
      </c>
      <c r="B32" s="2"/>
      <c r="C32" s="2"/>
      <c r="D32" s="2"/>
      <c r="E32" s="2"/>
      <c r="F32" s="2"/>
      <c r="G32" s="2"/>
    </row>
    <row r="33" spans="1:15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>
        <f>SUM(B34:B39)</f>
        <v>104</v>
      </c>
    </row>
    <row r="34" spans="1:15" x14ac:dyDescent="0.25">
      <c r="A34">
        <v>2019</v>
      </c>
      <c r="B34">
        <v>6</v>
      </c>
      <c r="C34">
        <v>25.43</v>
      </c>
      <c r="D34">
        <v>71052987.680000007</v>
      </c>
      <c r="E34">
        <v>508538.49</v>
      </c>
      <c r="F34">
        <v>71561526.159999996</v>
      </c>
      <c r="G34">
        <v>230.66</v>
      </c>
    </row>
    <row r="35" spans="1:15" x14ac:dyDescent="0.25">
      <c r="A35">
        <v>2020</v>
      </c>
      <c r="B35">
        <v>9</v>
      </c>
      <c r="C35">
        <v>322.58</v>
      </c>
      <c r="D35">
        <v>71052987.680000007</v>
      </c>
      <c r="E35">
        <v>6451574.3099999996</v>
      </c>
      <c r="F35">
        <v>77504561.989999995</v>
      </c>
      <c r="G35">
        <v>249.81</v>
      </c>
    </row>
    <row r="36" spans="1:15" x14ac:dyDescent="0.25">
      <c r="A36">
        <v>2021</v>
      </c>
      <c r="B36">
        <v>7</v>
      </c>
      <c r="C36">
        <v>209</v>
      </c>
      <c r="D36">
        <v>71052987.680000007</v>
      </c>
      <c r="E36">
        <v>4180038.09</v>
      </c>
      <c r="F36">
        <v>75233025.760000005</v>
      </c>
      <c r="G36">
        <v>242.49</v>
      </c>
    </row>
    <row r="37" spans="1:15" x14ac:dyDescent="0.25">
      <c r="A37">
        <v>2022</v>
      </c>
      <c r="B37">
        <v>58</v>
      </c>
      <c r="C37">
        <v>2248.89</v>
      </c>
      <c r="D37">
        <v>71052987.680000007</v>
      </c>
      <c r="E37">
        <v>44977768.890000001</v>
      </c>
      <c r="F37">
        <v>116030756.56</v>
      </c>
      <c r="G37">
        <v>373.99</v>
      </c>
    </row>
    <row r="38" spans="1:15" x14ac:dyDescent="0.25">
      <c r="A38">
        <v>2023</v>
      </c>
      <c r="B38">
        <v>7</v>
      </c>
      <c r="C38">
        <v>332.89</v>
      </c>
      <c r="D38">
        <v>71052987.680000007</v>
      </c>
      <c r="E38">
        <v>6657872.6200000001</v>
      </c>
      <c r="F38">
        <v>77710860.299999997</v>
      </c>
      <c r="G38">
        <v>250.48</v>
      </c>
    </row>
    <row r="39" spans="1:15" x14ac:dyDescent="0.25">
      <c r="A39">
        <v>2024</v>
      </c>
      <c r="B39">
        <v>17</v>
      </c>
      <c r="C39">
        <v>305.92</v>
      </c>
      <c r="D39">
        <v>71052987.680000007</v>
      </c>
      <c r="E39">
        <v>6118428.5800000001</v>
      </c>
      <c r="F39">
        <v>77171416.25</v>
      </c>
      <c r="G39">
        <v>248.74</v>
      </c>
    </row>
    <row r="40" spans="1:15" x14ac:dyDescent="0.25">
      <c r="K40" t="s">
        <v>13</v>
      </c>
      <c r="L40" t="s">
        <v>14</v>
      </c>
      <c r="M40" t="s">
        <v>15</v>
      </c>
      <c r="N40" t="s">
        <v>16</v>
      </c>
      <c r="O40" t="s">
        <v>26</v>
      </c>
    </row>
    <row r="41" spans="1:15" x14ac:dyDescent="0.25">
      <c r="A41" s="2" t="s">
        <v>11</v>
      </c>
      <c r="B41" s="2"/>
      <c r="C41" s="2"/>
      <c r="D41" s="2"/>
      <c r="E41" s="2"/>
      <c r="F41" s="2"/>
      <c r="G41" s="2"/>
      <c r="J41">
        <v>2019</v>
      </c>
      <c r="K41" s="1">
        <f>B3</f>
        <v>3</v>
      </c>
      <c r="L41" s="1">
        <f>B13</f>
        <v>5</v>
      </c>
      <c r="M41" s="1">
        <f>B23</f>
        <v>6</v>
      </c>
      <c r="N41" s="1">
        <f>B43</f>
        <v>3</v>
      </c>
      <c r="O41">
        <f>B53</f>
        <v>5</v>
      </c>
    </row>
    <row r="42" spans="1:1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>
        <f>SUM(B43:B48)</f>
        <v>90</v>
      </c>
      <c r="J42">
        <v>2020</v>
      </c>
      <c r="K42" s="1">
        <f t="shared" ref="K42:K46" si="0">B4</f>
        <v>9</v>
      </c>
      <c r="L42" s="1">
        <f t="shared" ref="L42:L46" si="1">B14</f>
        <v>11</v>
      </c>
      <c r="M42" s="1">
        <f t="shared" ref="M42:M46" si="2">B24</f>
        <v>9</v>
      </c>
      <c r="N42" s="1">
        <f t="shared" ref="N42:N46" si="3">B44</f>
        <v>9</v>
      </c>
      <c r="O42">
        <f t="shared" ref="O42:O46" si="4">B54</f>
        <v>10</v>
      </c>
    </row>
    <row r="43" spans="1:15" x14ac:dyDescent="0.25">
      <c r="A43">
        <v>2019</v>
      </c>
      <c r="B43">
        <v>3</v>
      </c>
      <c r="C43">
        <v>16.89</v>
      </c>
      <c r="D43">
        <v>71455606.530000001</v>
      </c>
      <c r="E43">
        <v>337853.11</v>
      </c>
      <c r="F43">
        <v>71793459.640000001</v>
      </c>
      <c r="G43">
        <v>231.41</v>
      </c>
      <c r="J43">
        <v>2021</v>
      </c>
      <c r="K43" s="1">
        <f t="shared" si="0"/>
        <v>6</v>
      </c>
      <c r="L43" s="1">
        <f t="shared" si="1"/>
        <v>10</v>
      </c>
      <c r="M43" s="1">
        <f t="shared" si="2"/>
        <v>7</v>
      </c>
      <c r="N43" s="1">
        <f t="shared" si="3"/>
        <v>5</v>
      </c>
      <c r="O43">
        <f t="shared" si="4"/>
        <v>8</v>
      </c>
    </row>
    <row r="44" spans="1:15" x14ac:dyDescent="0.25">
      <c r="A44">
        <v>2020</v>
      </c>
      <c r="B44">
        <v>9</v>
      </c>
      <c r="C44">
        <v>304.29000000000002</v>
      </c>
      <c r="D44">
        <v>71455606.530000001</v>
      </c>
      <c r="E44">
        <v>6085856.1299999999</v>
      </c>
      <c r="F44">
        <v>77541462.659999996</v>
      </c>
      <c r="G44">
        <v>249.93</v>
      </c>
      <c r="J44">
        <v>2022</v>
      </c>
      <c r="K44" s="1">
        <f t="shared" si="0"/>
        <v>53</v>
      </c>
      <c r="L44" s="1">
        <f t="shared" si="1"/>
        <v>64</v>
      </c>
      <c r="M44" s="1">
        <f t="shared" si="2"/>
        <v>58</v>
      </c>
      <c r="N44" s="1">
        <f t="shared" si="3"/>
        <v>52</v>
      </c>
      <c r="O44">
        <f t="shared" si="4"/>
        <v>60</v>
      </c>
    </row>
    <row r="45" spans="1:15" x14ac:dyDescent="0.25">
      <c r="A45">
        <v>2021</v>
      </c>
      <c r="B45">
        <v>5</v>
      </c>
      <c r="C45">
        <v>192.26</v>
      </c>
      <c r="D45">
        <v>71455606.530000001</v>
      </c>
      <c r="E45">
        <v>3845295.33</v>
      </c>
      <c r="F45">
        <v>75300901.859999999</v>
      </c>
      <c r="G45">
        <v>242.71</v>
      </c>
      <c r="J45">
        <v>2023</v>
      </c>
      <c r="K45" s="1">
        <f t="shared" si="0"/>
        <v>7</v>
      </c>
      <c r="L45" s="1">
        <f t="shared" si="1"/>
        <v>10</v>
      </c>
      <c r="M45" s="1">
        <f t="shared" si="2"/>
        <v>7</v>
      </c>
      <c r="N45" s="1">
        <f t="shared" si="3"/>
        <v>7</v>
      </c>
      <c r="O45">
        <f t="shared" si="4"/>
        <v>10</v>
      </c>
    </row>
    <row r="46" spans="1:15" x14ac:dyDescent="0.25">
      <c r="A46">
        <v>2022</v>
      </c>
      <c r="B46">
        <v>52</v>
      </c>
      <c r="C46">
        <v>2161.54</v>
      </c>
      <c r="D46">
        <v>71455606.530000001</v>
      </c>
      <c r="E46">
        <v>43230851.200000003</v>
      </c>
      <c r="F46">
        <v>114686457.73</v>
      </c>
      <c r="G46">
        <v>369.66</v>
      </c>
      <c r="J46">
        <v>2024</v>
      </c>
      <c r="K46" s="1">
        <f t="shared" si="0"/>
        <v>12</v>
      </c>
      <c r="L46" s="1">
        <f t="shared" si="1"/>
        <v>15</v>
      </c>
      <c r="M46" s="1">
        <f t="shared" si="2"/>
        <v>17</v>
      </c>
      <c r="N46" s="1">
        <f t="shared" si="3"/>
        <v>14</v>
      </c>
      <c r="O46">
        <f t="shared" si="4"/>
        <v>15</v>
      </c>
    </row>
    <row r="47" spans="1:15" x14ac:dyDescent="0.25">
      <c r="A47">
        <v>2023</v>
      </c>
      <c r="B47">
        <v>7</v>
      </c>
      <c r="C47">
        <v>299</v>
      </c>
      <c r="D47">
        <v>71455606.530000001</v>
      </c>
      <c r="E47">
        <v>5980043.4699999997</v>
      </c>
      <c r="F47">
        <v>77435650</v>
      </c>
      <c r="G47">
        <v>249.59</v>
      </c>
    </row>
    <row r="48" spans="1:15" x14ac:dyDescent="0.25">
      <c r="A48">
        <v>2024</v>
      </c>
      <c r="B48">
        <v>14</v>
      </c>
      <c r="C48">
        <v>256.94</v>
      </c>
      <c r="D48">
        <v>71455606.530000001</v>
      </c>
      <c r="E48">
        <v>5138806.2699999996</v>
      </c>
      <c r="F48">
        <v>76594412.799999997</v>
      </c>
      <c r="G48">
        <v>246.88</v>
      </c>
    </row>
    <row r="51" spans="1:8" x14ac:dyDescent="0.25">
      <c r="A51" s="2" t="s">
        <v>12</v>
      </c>
      <c r="B51" s="2"/>
      <c r="C51" s="2"/>
      <c r="D51" s="2"/>
      <c r="E51" s="2"/>
      <c r="F51" s="2"/>
      <c r="G51" s="2"/>
    </row>
    <row r="52" spans="1: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>
        <f>SUM(B53:B58)</f>
        <v>108</v>
      </c>
    </row>
    <row r="53" spans="1:8" x14ac:dyDescent="0.25">
      <c r="A53">
        <v>2019</v>
      </c>
      <c r="B53">
        <v>5</v>
      </c>
      <c r="C53">
        <v>83.74</v>
      </c>
      <c r="D53">
        <v>70595296.25</v>
      </c>
      <c r="E53">
        <v>1674781.16</v>
      </c>
      <c r="F53">
        <v>72270077.409999996</v>
      </c>
      <c r="G53">
        <v>232.94</v>
      </c>
    </row>
    <row r="54" spans="1:8" x14ac:dyDescent="0.25">
      <c r="A54">
        <v>2020</v>
      </c>
      <c r="B54">
        <v>10</v>
      </c>
      <c r="C54">
        <v>335.5</v>
      </c>
      <c r="D54">
        <v>70595296.25</v>
      </c>
      <c r="E54">
        <v>6710054.6699999999</v>
      </c>
      <c r="F54">
        <v>77305350.920000002</v>
      </c>
      <c r="G54">
        <v>249.17</v>
      </c>
    </row>
    <row r="55" spans="1:8" x14ac:dyDescent="0.25">
      <c r="A55">
        <v>2021</v>
      </c>
      <c r="B55">
        <v>8</v>
      </c>
      <c r="C55">
        <v>232.34</v>
      </c>
      <c r="D55">
        <v>70595296.25</v>
      </c>
      <c r="E55">
        <v>4646714.4400000004</v>
      </c>
      <c r="F55">
        <v>75242010.700000003</v>
      </c>
      <c r="G55">
        <v>242.52</v>
      </c>
    </row>
    <row r="56" spans="1:8" x14ac:dyDescent="0.25">
      <c r="A56">
        <v>2022</v>
      </c>
      <c r="B56">
        <v>60</v>
      </c>
      <c r="C56">
        <v>2457.9699999999998</v>
      </c>
      <c r="D56">
        <v>70595296.25</v>
      </c>
      <c r="E56">
        <v>49159382.439999998</v>
      </c>
      <c r="F56">
        <v>119754678.7</v>
      </c>
      <c r="G56">
        <v>385.99</v>
      </c>
    </row>
    <row r="57" spans="1:8" x14ac:dyDescent="0.25">
      <c r="A57">
        <v>2023</v>
      </c>
      <c r="B57">
        <v>10</v>
      </c>
      <c r="C57">
        <v>427.67</v>
      </c>
      <c r="D57">
        <v>70595296.25</v>
      </c>
      <c r="E57">
        <v>8553463.7799999993</v>
      </c>
      <c r="F57">
        <v>79148760.030000001</v>
      </c>
      <c r="G57">
        <v>255.11</v>
      </c>
    </row>
    <row r="58" spans="1:8" x14ac:dyDescent="0.25">
      <c r="A58">
        <v>2024</v>
      </c>
      <c r="B58">
        <v>15</v>
      </c>
      <c r="C58">
        <v>405.62</v>
      </c>
      <c r="D58">
        <v>70595296.25</v>
      </c>
      <c r="E58">
        <v>8112465.3300000001</v>
      </c>
      <c r="F58">
        <v>78707761.590000004</v>
      </c>
      <c r="G58">
        <v>253.69</v>
      </c>
    </row>
    <row r="72" spans="10:15" x14ac:dyDescent="0.25">
      <c r="K72" t="s">
        <v>30</v>
      </c>
      <c r="L72" t="s">
        <v>14</v>
      </c>
      <c r="M72" t="s">
        <v>32</v>
      </c>
      <c r="N72" t="s">
        <v>16</v>
      </c>
      <c r="O72" t="s">
        <v>26</v>
      </c>
    </row>
    <row r="73" spans="10:15" x14ac:dyDescent="0.25">
      <c r="J73" t="s">
        <v>18</v>
      </c>
      <c r="K73" s="1">
        <f>SUM(K41:K46)-K44</f>
        <v>37</v>
      </c>
      <c r="L73" s="1">
        <f t="shared" ref="L73:O73" si="5">SUM(L41:L46)-L44</f>
        <v>51</v>
      </c>
      <c r="M73" s="1">
        <f t="shared" si="5"/>
        <v>46</v>
      </c>
      <c r="N73" s="1">
        <f t="shared" si="5"/>
        <v>38</v>
      </c>
      <c r="O73" s="1">
        <f t="shared" si="5"/>
        <v>48</v>
      </c>
    </row>
  </sheetData>
  <mergeCells count="6">
    <mergeCell ref="A51:G51"/>
    <mergeCell ref="A1:G1"/>
    <mergeCell ref="A11:G11"/>
    <mergeCell ref="A21:G21"/>
    <mergeCell ref="A32:G32"/>
    <mergeCell ref="A41:G4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050A-7C4D-4654-B199-0B59BF4C6EF4}">
  <dimension ref="A1:O73"/>
  <sheetViews>
    <sheetView workbookViewId="0">
      <selection activeCell="F102" sqref="F102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116</v>
      </c>
    </row>
    <row r="3" spans="1:8" x14ac:dyDescent="0.25">
      <c r="A3">
        <v>2019</v>
      </c>
      <c r="B3">
        <v>9</v>
      </c>
      <c r="C3">
        <v>270.89</v>
      </c>
      <c r="D3">
        <v>63193643.780000001</v>
      </c>
      <c r="E3">
        <v>5417787.7800000003</v>
      </c>
      <c r="F3">
        <v>68611431.560000002</v>
      </c>
      <c r="G3">
        <v>221.15</v>
      </c>
    </row>
    <row r="4" spans="1:8" x14ac:dyDescent="0.25">
      <c r="A4">
        <v>2020</v>
      </c>
      <c r="B4">
        <v>16</v>
      </c>
      <c r="C4">
        <v>726.51</v>
      </c>
      <c r="D4">
        <v>63193643.780000001</v>
      </c>
      <c r="E4">
        <v>14530190</v>
      </c>
      <c r="F4">
        <v>77723833.780000001</v>
      </c>
      <c r="G4">
        <v>250.52</v>
      </c>
    </row>
    <row r="5" spans="1:8" x14ac:dyDescent="0.25">
      <c r="A5">
        <v>2021</v>
      </c>
      <c r="B5">
        <v>7</v>
      </c>
      <c r="C5">
        <v>160.38999999999999</v>
      </c>
      <c r="D5">
        <v>63193643.780000001</v>
      </c>
      <c r="E5">
        <v>3207724.44</v>
      </c>
      <c r="F5">
        <v>66401368.219999999</v>
      </c>
      <c r="G5">
        <v>214.03</v>
      </c>
    </row>
    <row r="6" spans="1:8" x14ac:dyDescent="0.25">
      <c r="A6">
        <v>2022</v>
      </c>
      <c r="B6">
        <v>12</v>
      </c>
      <c r="C6">
        <v>589.96</v>
      </c>
      <c r="D6">
        <v>63193643.780000001</v>
      </c>
      <c r="E6">
        <v>11799261.109999999</v>
      </c>
      <c r="F6">
        <v>74992904.890000001</v>
      </c>
      <c r="G6">
        <v>241.72</v>
      </c>
    </row>
    <row r="7" spans="1:8" x14ac:dyDescent="0.25">
      <c r="A7">
        <v>2023</v>
      </c>
      <c r="B7">
        <v>28</v>
      </c>
      <c r="C7">
        <v>1600.87</v>
      </c>
      <c r="D7">
        <v>63193643.780000001</v>
      </c>
      <c r="E7">
        <v>32017443.329999998</v>
      </c>
      <c r="F7">
        <v>95211087.109999999</v>
      </c>
      <c r="G7">
        <v>306.89</v>
      </c>
    </row>
    <row r="8" spans="1:8" x14ac:dyDescent="0.25">
      <c r="A8">
        <v>2024</v>
      </c>
      <c r="B8">
        <v>44</v>
      </c>
      <c r="C8">
        <v>1996.84</v>
      </c>
      <c r="D8">
        <v>63193643.780000001</v>
      </c>
      <c r="E8">
        <v>39936876.670000002</v>
      </c>
      <c r="F8">
        <v>103130520.44</v>
      </c>
      <c r="G8">
        <v>332.41</v>
      </c>
    </row>
    <row r="11" spans="1:8" x14ac:dyDescent="0.25">
      <c r="A11" s="2" t="s">
        <v>8</v>
      </c>
      <c r="B11" s="2"/>
      <c r="C11" s="2"/>
      <c r="D11" s="2"/>
      <c r="E11" s="2"/>
      <c r="F11" s="2"/>
      <c r="G11" s="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>
        <f>SUM(B13:B18)</f>
        <v>100</v>
      </c>
    </row>
    <row r="13" spans="1:8" x14ac:dyDescent="0.25">
      <c r="A13">
        <v>2019</v>
      </c>
      <c r="B13">
        <v>5</v>
      </c>
      <c r="C13">
        <v>156.5</v>
      </c>
      <c r="D13">
        <v>64337586.759999998</v>
      </c>
      <c r="E13">
        <v>3129944.62</v>
      </c>
      <c r="F13">
        <v>67467531.390000001</v>
      </c>
      <c r="G13">
        <v>217.46</v>
      </c>
    </row>
    <row r="14" spans="1:8" x14ac:dyDescent="0.25">
      <c r="A14">
        <v>2020</v>
      </c>
      <c r="B14">
        <v>16</v>
      </c>
      <c r="C14">
        <v>765.58</v>
      </c>
      <c r="D14">
        <v>64337586.759999998</v>
      </c>
      <c r="E14">
        <v>15311620</v>
      </c>
      <c r="F14">
        <v>79649206.760000005</v>
      </c>
      <c r="G14">
        <v>256.73</v>
      </c>
    </row>
    <row r="15" spans="1:8" x14ac:dyDescent="0.25">
      <c r="A15">
        <v>2021</v>
      </c>
      <c r="B15">
        <v>2</v>
      </c>
      <c r="C15">
        <v>89.57</v>
      </c>
      <c r="D15">
        <v>64337586.759999998</v>
      </c>
      <c r="E15">
        <v>1791486.67</v>
      </c>
      <c r="F15">
        <v>66129073.43</v>
      </c>
      <c r="G15">
        <v>213.15</v>
      </c>
    </row>
    <row r="16" spans="1:8" x14ac:dyDescent="0.25">
      <c r="A16">
        <v>2022</v>
      </c>
      <c r="B16">
        <v>12</v>
      </c>
      <c r="C16">
        <v>620.04999999999995</v>
      </c>
      <c r="D16">
        <v>64337586.759999998</v>
      </c>
      <c r="E16">
        <v>12400986.130000001</v>
      </c>
      <c r="F16">
        <v>76738572.900000006</v>
      </c>
      <c r="G16">
        <v>247.34</v>
      </c>
    </row>
    <row r="17" spans="1:8" x14ac:dyDescent="0.25">
      <c r="A17">
        <v>2023</v>
      </c>
      <c r="B17">
        <v>29</v>
      </c>
      <c r="C17">
        <v>1501.17</v>
      </c>
      <c r="D17">
        <v>64337586.759999998</v>
      </c>
      <c r="E17">
        <v>30023381.07</v>
      </c>
      <c r="F17">
        <v>94360967.829999998</v>
      </c>
      <c r="G17">
        <v>304.14</v>
      </c>
    </row>
    <row r="18" spans="1:8" x14ac:dyDescent="0.25">
      <c r="A18">
        <v>2024</v>
      </c>
      <c r="B18">
        <v>36</v>
      </c>
      <c r="C18">
        <v>1589.89</v>
      </c>
      <c r="D18">
        <v>64337586.759999998</v>
      </c>
      <c r="E18">
        <v>31797893.239999998</v>
      </c>
      <c r="F18">
        <v>96135480.010000005</v>
      </c>
      <c r="G18">
        <v>309.86</v>
      </c>
    </row>
    <row r="21" spans="1:8" x14ac:dyDescent="0.25">
      <c r="A21" s="2" t="s">
        <v>9</v>
      </c>
      <c r="B21" s="2"/>
      <c r="C21" s="2"/>
      <c r="D21" s="2"/>
      <c r="E21" s="2"/>
      <c r="F21" s="2"/>
      <c r="G21" s="2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>
        <f>SUM(B23:B28)</f>
        <v>85</v>
      </c>
    </row>
    <row r="23" spans="1:8" x14ac:dyDescent="0.25">
      <c r="A23">
        <v>2019</v>
      </c>
      <c r="B23">
        <v>4</v>
      </c>
      <c r="C23">
        <v>123.15</v>
      </c>
      <c r="D23">
        <v>64853857.770000003</v>
      </c>
      <c r="E23">
        <v>2462997.11</v>
      </c>
      <c r="F23">
        <v>67316854.879999995</v>
      </c>
      <c r="G23">
        <v>216.98</v>
      </c>
    </row>
    <row r="24" spans="1:8" x14ac:dyDescent="0.25">
      <c r="A24">
        <v>2020</v>
      </c>
      <c r="B24">
        <v>14</v>
      </c>
      <c r="C24">
        <v>623.29</v>
      </c>
      <c r="D24">
        <v>64853857.770000003</v>
      </c>
      <c r="E24">
        <v>12465822.49</v>
      </c>
      <c r="F24">
        <v>77319680.260000005</v>
      </c>
      <c r="G24">
        <v>249.22</v>
      </c>
    </row>
    <row r="25" spans="1:8" x14ac:dyDescent="0.25">
      <c r="A25">
        <v>2021</v>
      </c>
      <c r="B25">
        <v>4</v>
      </c>
      <c r="C25">
        <v>62.03</v>
      </c>
      <c r="D25">
        <v>64853857.770000003</v>
      </c>
      <c r="E25">
        <v>1240501.69</v>
      </c>
      <c r="F25">
        <v>66094359.460000001</v>
      </c>
      <c r="G25">
        <v>213.04</v>
      </c>
    </row>
    <row r="26" spans="1:8" x14ac:dyDescent="0.25">
      <c r="A26">
        <v>2022</v>
      </c>
      <c r="B26">
        <v>10</v>
      </c>
      <c r="C26">
        <v>572.86</v>
      </c>
      <c r="D26">
        <v>64853857.770000003</v>
      </c>
      <c r="E26">
        <v>11457244.27</v>
      </c>
      <c r="F26">
        <v>76311102.040000007</v>
      </c>
      <c r="G26">
        <v>245.97</v>
      </c>
    </row>
    <row r="27" spans="1:8" x14ac:dyDescent="0.25">
      <c r="A27">
        <v>2023</v>
      </c>
      <c r="B27">
        <v>23</v>
      </c>
      <c r="C27">
        <v>1262.01</v>
      </c>
      <c r="D27">
        <v>64853857.770000003</v>
      </c>
      <c r="E27">
        <v>25240162.84</v>
      </c>
      <c r="F27">
        <v>90094020.609999999</v>
      </c>
      <c r="G27">
        <v>290.39</v>
      </c>
    </row>
    <row r="28" spans="1:8" x14ac:dyDescent="0.25">
      <c r="A28">
        <v>2024</v>
      </c>
      <c r="B28">
        <v>30</v>
      </c>
      <c r="C28">
        <v>1432.94</v>
      </c>
      <c r="D28">
        <v>64853857.770000003</v>
      </c>
      <c r="E28">
        <v>28658899.420000002</v>
      </c>
      <c r="F28">
        <v>93512757.189999998</v>
      </c>
      <c r="G28">
        <v>301.41000000000003</v>
      </c>
    </row>
    <row r="32" spans="1:8" x14ac:dyDescent="0.25">
      <c r="A32" s="2" t="s">
        <v>10</v>
      </c>
      <c r="B32" s="2"/>
      <c r="C32" s="2"/>
      <c r="D32" s="2"/>
      <c r="E32" s="2"/>
      <c r="F32" s="2"/>
      <c r="G32" s="2"/>
    </row>
    <row r="33" spans="1:15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>
        <f>SUM(B34:B39)</f>
        <v>100</v>
      </c>
    </row>
    <row r="34" spans="1:15" x14ac:dyDescent="0.25">
      <c r="A34">
        <v>2019</v>
      </c>
      <c r="B34">
        <v>5</v>
      </c>
      <c r="C34">
        <v>156.5</v>
      </c>
      <c r="D34">
        <v>64337586.759999998</v>
      </c>
      <c r="E34">
        <v>3129944.62</v>
      </c>
      <c r="F34">
        <v>67467531.390000001</v>
      </c>
      <c r="G34">
        <v>217.46</v>
      </c>
    </row>
    <row r="35" spans="1:15" x14ac:dyDescent="0.25">
      <c r="A35">
        <v>2020</v>
      </c>
      <c r="B35">
        <v>16</v>
      </c>
      <c r="C35">
        <v>765.58</v>
      </c>
      <c r="D35">
        <v>64337586.759999998</v>
      </c>
      <c r="E35">
        <v>15311620</v>
      </c>
      <c r="F35">
        <v>79649206.760000005</v>
      </c>
      <c r="G35">
        <v>256.73</v>
      </c>
    </row>
    <row r="36" spans="1:15" x14ac:dyDescent="0.25">
      <c r="A36">
        <v>2021</v>
      </c>
      <c r="B36">
        <v>2</v>
      </c>
      <c r="C36">
        <v>89.57</v>
      </c>
      <c r="D36">
        <v>64337586.759999998</v>
      </c>
      <c r="E36">
        <v>1791486.67</v>
      </c>
      <c r="F36">
        <v>66129073.43</v>
      </c>
      <c r="G36">
        <v>213.15</v>
      </c>
    </row>
    <row r="37" spans="1:15" x14ac:dyDescent="0.25">
      <c r="A37">
        <v>2022</v>
      </c>
      <c r="B37">
        <v>12</v>
      </c>
      <c r="C37">
        <v>620.04999999999995</v>
      </c>
      <c r="D37">
        <v>64337586.759999998</v>
      </c>
      <c r="E37">
        <v>12400986.130000001</v>
      </c>
      <c r="F37">
        <v>76738572.900000006</v>
      </c>
      <c r="G37">
        <v>247.34</v>
      </c>
    </row>
    <row r="38" spans="1:15" x14ac:dyDescent="0.25">
      <c r="A38">
        <v>2023</v>
      </c>
      <c r="B38">
        <v>29</v>
      </c>
      <c r="C38">
        <v>1501.17</v>
      </c>
      <c r="D38">
        <v>64337586.759999998</v>
      </c>
      <c r="E38">
        <v>30023381.07</v>
      </c>
      <c r="F38">
        <v>94360967.829999998</v>
      </c>
      <c r="G38">
        <v>304.14</v>
      </c>
    </row>
    <row r="39" spans="1:15" x14ac:dyDescent="0.25">
      <c r="A39">
        <v>2024</v>
      </c>
      <c r="B39">
        <v>36</v>
      </c>
      <c r="C39">
        <v>1589.89</v>
      </c>
      <c r="D39">
        <v>64337586.759999998</v>
      </c>
      <c r="E39">
        <v>31797893.239999998</v>
      </c>
      <c r="F39">
        <v>96135480.010000005</v>
      </c>
      <c r="G39">
        <v>309.86</v>
      </c>
    </row>
    <row r="40" spans="1:15" x14ac:dyDescent="0.25">
      <c r="K40" t="s">
        <v>30</v>
      </c>
      <c r="L40" t="s">
        <v>39</v>
      </c>
      <c r="M40" t="s">
        <v>21</v>
      </c>
      <c r="N40" t="s">
        <v>16</v>
      </c>
      <c r="O40" t="s">
        <v>26</v>
      </c>
    </row>
    <row r="41" spans="1:15" x14ac:dyDescent="0.25">
      <c r="A41" s="2" t="s">
        <v>11</v>
      </c>
      <c r="B41" s="2"/>
      <c r="C41" s="2"/>
      <c r="D41" s="2"/>
      <c r="E41" s="2"/>
      <c r="F41" s="2"/>
      <c r="G41" s="2"/>
      <c r="J41">
        <v>2019</v>
      </c>
      <c r="K41" s="1">
        <f>B3</f>
        <v>9</v>
      </c>
      <c r="L41" s="1">
        <f>B13</f>
        <v>5</v>
      </c>
      <c r="M41" s="1">
        <f>B23</f>
        <v>4</v>
      </c>
      <c r="N41" s="1">
        <f>B43</f>
        <v>4</v>
      </c>
      <c r="O41">
        <f>B53</f>
        <v>7</v>
      </c>
    </row>
    <row r="42" spans="1:1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>
        <f>SUM(B43:B48)</f>
        <v>84</v>
      </c>
      <c r="J42">
        <v>2020</v>
      </c>
      <c r="K42" s="1">
        <f t="shared" ref="K42:K46" si="0">B4</f>
        <v>16</v>
      </c>
      <c r="L42" s="1">
        <f t="shared" ref="L42:L46" si="1">B14</f>
        <v>16</v>
      </c>
      <c r="M42" s="1">
        <f t="shared" ref="M42:M46" si="2">B24</f>
        <v>14</v>
      </c>
      <c r="N42" s="1">
        <f t="shared" ref="N42:N46" si="3">B44</f>
        <v>14</v>
      </c>
      <c r="O42">
        <f t="shared" ref="O42:O46" si="4">B54</f>
        <v>15</v>
      </c>
    </row>
    <row r="43" spans="1:15" x14ac:dyDescent="0.25">
      <c r="A43">
        <v>2019</v>
      </c>
      <c r="B43">
        <v>4</v>
      </c>
      <c r="C43">
        <v>125.1</v>
      </c>
      <c r="D43">
        <v>64839193.280000001</v>
      </c>
      <c r="E43">
        <v>2502008.58</v>
      </c>
      <c r="F43">
        <v>67341201.859999999</v>
      </c>
      <c r="G43">
        <v>217.05</v>
      </c>
      <c r="J43">
        <v>2021</v>
      </c>
      <c r="K43" s="1">
        <f t="shared" si="0"/>
        <v>7</v>
      </c>
      <c r="L43" s="1">
        <f t="shared" si="1"/>
        <v>2</v>
      </c>
      <c r="M43" s="1">
        <f t="shared" si="2"/>
        <v>4</v>
      </c>
      <c r="N43" s="1">
        <f t="shared" si="3"/>
        <v>2</v>
      </c>
      <c r="O43">
        <f t="shared" si="4"/>
        <v>5</v>
      </c>
    </row>
    <row r="44" spans="1:15" x14ac:dyDescent="0.25">
      <c r="A44">
        <v>2020</v>
      </c>
      <c r="B44">
        <v>14</v>
      </c>
      <c r="C44">
        <v>623.12</v>
      </c>
      <c r="D44">
        <v>64839193.280000001</v>
      </c>
      <c r="E44">
        <v>12462455.16</v>
      </c>
      <c r="F44">
        <v>77301648.430000007</v>
      </c>
      <c r="G44">
        <v>249.16</v>
      </c>
      <c r="J44">
        <v>2022</v>
      </c>
      <c r="K44" s="1">
        <f t="shared" si="0"/>
        <v>12</v>
      </c>
      <c r="L44" s="1">
        <f t="shared" si="1"/>
        <v>12</v>
      </c>
      <c r="M44" s="1">
        <f t="shared" si="2"/>
        <v>10</v>
      </c>
      <c r="N44" s="1">
        <f t="shared" si="3"/>
        <v>10</v>
      </c>
      <c r="O44">
        <f t="shared" si="4"/>
        <v>9</v>
      </c>
    </row>
    <row r="45" spans="1:15" x14ac:dyDescent="0.25">
      <c r="A45">
        <v>2021</v>
      </c>
      <c r="B45">
        <v>2</v>
      </c>
      <c r="C45">
        <v>62.94</v>
      </c>
      <c r="D45">
        <v>64839193.280000001</v>
      </c>
      <c r="E45">
        <v>1258762.53</v>
      </c>
      <c r="F45">
        <v>66097955.810000002</v>
      </c>
      <c r="G45">
        <v>213.05</v>
      </c>
      <c r="J45">
        <v>2023</v>
      </c>
      <c r="K45" s="1">
        <f t="shared" si="0"/>
        <v>28</v>
      </c>
      <c r="L45" s="1">
        <f t="shared" si="1"/>
        <v>29</v>
      </c>
      <c r="M45" s="1">
        <f t="shared" si="2"/>
        <v>23</v>
      </c>
      <c r="N45" s="1">
        <f t="shared" si="3"/>
        <v>23</v>
      </c>
      <c r="O45">
        <f t="shared" si="4"/>
        <v>27</v>
      </c>
    </row>
    <row r="46" spans="1:15" x14ac:dyDescent="0.25">
      <c r="A46">
        <v>2022</v>
      </c>
      <c r="B46">
        <v>10</v>
      </c>
      <c r="C46">
        <v>571.62</v>
      </c>
      <c r="D46">
        <v>64839193.280000001</v>
      </c>
      <c r="E46">
        <v>11432399.869999999</v>
      </c>
      <c r="F46">
        <v>76271593.150000006</v>
      </c>
      <c r="G46">
        <v>245.84</v>
      </c>
      <c r="J46">
        <v>2024</v>
      </c>
      <c r="K46" s="1">
        <f t="shared" si="0"/>
        <v>44</v>
      </c>
      <c r="L46" s="1">
        <f t="shared" si="1"/>
        <v>36</v>
      </c>
      <c r="M46" s="1">
        <f t="shared" si="2"/>
        <v>30</v>
      </c>
      <c r="N46" s="1">
        <f t="shared" si="3"/>
        <v>31</v>
      </c>
      <c r="O46">
        <f t="shared" si="4"/>
        <v>40</v>
      </c>
    </row>
    <row r="47" spans="1:15" x14ac:dyDescent="0.25">
      <c r="A47">
        <v>2023</v>
      </c>
      <c r="B47">
        <v>23</v>
      </c>
      <c r="C47">
        <v>1264.95</v>
      </c>
      <c r="D47">
        <v>64839193.280000001</v>
      </c>
      <c r="E47">
        <v>25299047.239999998</v>
      </c>
      <c r="F47">
        <v>90138240.519999996</v>
      </c>
      <c r="G47">
        <v>290.52999999999997</v>
      </c>
    </row>
    <row r="48" spans="1:15" x14ac:dyDescent="0.25">
      <c r="A48">
        <v>2024</v>
      </c>
      <c r="B48">
        <v>31</v>
      </c>
      <c r="C48">
        <v>1436.62</v>
      </c>
      <c r="D48">
        <v>64839193.280000001</v>
      </c>
      <c r="E48">
        <v>28732349.289999999</v>
      </c>
      <c r="F48">
        <v>93571542.569999993</v>
      </c>
      <c r="G48">
        <v>301.60000000000002</v>
      </c>
    </row>
    <row r="51" spans="1:8" x14ac:dyDescent="0.25">
      <c r="A51" s="2" t="s">
        <v>12</v>
      </c>
      <c r="B51" s="2"/>
      <c r="C51" s="2"/>
      <c r="D51" s="2"/>
      <c r="E51" s="2"/>
      <c r="F51" s="2"/>
      <c r="G51" s="2"/>
    </row>
    <row r="52" spans="1: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>
        <f>SUM(B53:B58)</f>
        <v>103</v>
      </c>
    </row>
    <row r="53" spans="1:8" x14ac:dyDescent="0.25">
      <c r="A53">
        <v>2019</v>
      </c>
      <c r="B53">
        <v>7</v>
      </c>
      <c r="C53">
        <v>234.34</v>
      </c>
      <c r="D53">
        <v>63754844.259999998</v>
      </c>
      <c r="E53">
        <v>4686729.91</v>
      </c>
      <c r="F53">
        <v>68441574.170000002</v>
      </c>
      <c r="G53">
        <v>220.6</v>
      </c>
    </row>
    <row r="54" spans="1:8" x14ac:dyDescent="0.25">
      <c r="A54">
        <v>2020</v>
      </c>
      <c r="B54">
        <v>15</v>
      </c>
      <c r="C54">
        <v>697.26</v>
      </c>
      <c r="D54">
        <v>63754844.259999998</v>
      </c>
      <c r="E54">
        <v>13945174.619999999</v>
      </c>
      <c r="F54">
        <v>77700018.879999995</v>
      </c>
      <c r="G54">
        <v>250.44</v>
      </c>
    </row>
    <row r="55" spans="1:8" x14ac:dyDescent="0.25">
      <c r="A55">
        <v>2021</v>
      </c>
      <c r="B55">
        <v>5</v>
      </c>
      <c r="C55">
        <v>124.92</v>
      </c>
      <c r="D55">
        <v>63754844.259999998</v>
      </c>
      <c r="E55">
        <v>2498312.89</v>
      </c>
      <c r="F55">
        <v>66253157.149999999</v>
      </c>
      <c r="G55">
        <v>213.55</v>
      </c>
    </row>
    <row r="56" spans="1:8" x14ac:dyDescent="0.25">
      <c r="A56">
        <v>2022</v>
      </c>
      <c r="B56">
        <v>9</v>
      </c>
      <c r="C56">
        <v>556.22</v>
      </c>
      <c r="D56">
        <v>63754844.259999998</v>
      </c>
      <c r="E56">
        <v>11124332.4</v>
      </c>
      <c r="F56">
        <v>74879176.659999996</v>
      </c>
      <c r="G56">
        <v>241.35</v>
      </c>
    </row>
    <row r="57" spans="1:8" x14ac:dyDescent="0.25">
      <c r="A57">
        <v>2023</v>
      </c>
      <c r="B57">
        <v>27</v>
      </c>
      <c r="C57">
        <v>1533.43</v>
      </c>
      <c r="D57">
        <v>63754844.259999998</v>
      </c>
      <c r="E57">
        <v>30668637.329999998</v>
      </c>
      <c r="F57">
        <v>94423481.590000004</v>
      </c>
      <c r="G57">
        <v>304.35000000000002</v>
      </c>
    </row>
    <row r="58" spans="1:8" x14ac:dyDescent="0.25">
      <c r="A58">
        <v>2024</v>
      </c>
      <c r="B58">
        <v>40</v>
      </c>
      <c r="C58">
        <v>1864.24</v>
      </c>
      <c r="D58">
        <v>63754844.259999998</v>
      </c>
      <c r="E58">
        <v>37284792.310000002</v>
      </c>
      <c r="F58">
        <v>101039636.56999999</v>
      </c>
      <c r="G58">
        <v>325.67</v>
      </c>
    </row>
    <row r="72" spans="10:15" x14ac:dyDescent="0.25">
      <c r="K72" t="s">
        <v>30</v>
      </c>
      <c r="L72" t="s">
        <v>39</v>
      </c>
      <c r="M72" t="s">
        <v>21</v>
      </c>
      <c r="N72" t="s">
        <v>16</v>
      </c>
      <c r="O72" t="s">
        <v>26</v>
      </c>
    </row>
    <row r="73" spans="10:15" x14ac:dyDescent="0.25">
      <c r="J73" t="s">
        <v>18</v>
      </c>
      <c r="K73" s="1">
        <f>SUM(K41:K46)</f>
        <v>116</v>
      </c>
      <c r="L73" s="1">
        <f>SUM(L41:L46)</f>
        <v>100</v>
      </c>
      <c r="M73" s="1">
        <f>SUM(M41:M46)</f>
        <v>85</v>
      </c>
      <c r="N73" s="1">
        <f>SUM(N41:N46)</f>
        <v>84</v>
      </c>
      <c r="O73" s="3">
        <f>SUM(O41:O46)</f>
        <v>103</v>
      </c>
    </row>
  </sheetData>
  <mergeCells count="6">
    <mergeCell ref="A51:G51"/>
    <mergeCell ref="A1:G1"/>
    <mergeCell ref="A11:G11"/>
    <mergeCell ref="A21:G21"/>
    <mergeCell ref="A32:G32"/>
    <mergeCell ref="A41:G4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CDD1-B9EA-4E1D-AA3E-DD5A1E797FDF}">
  <dimension ref="A1:P72"/>
  <sheetViews>
    <sheetView topLeftCell="A64" workbookViewId="0">
      <selection activeCell="M40" sqref="M40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12" x14ac:dyDescent="0.25">
      <c r="A1" s="2" t="s">
        <v>7</v>
      </c>
      <c r="B1" s="2"/>
      <c r="C1" s="2"/>
      <c r="D1" s="2"/>
      <c r="E1" s="2"/>
      <c r="F1" s="2"/>
      <c r="G1" s="2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99</v>
      </c>
    </row>
    <row r="3" spans="1:12" x14ac:dyDescent="0.25">
      <c r="A3">
        <v>2019</v>
      </c>
      <c r="B3">
        <v>1</v>
      </c>
      <c r="C3">
        <v>55.18</v>
      </c>
      <c r="D3">
        <v>62423164.039999999</v>
      </c>
      <c r="E3">
        <v>1103587.33</v>
      </c>
      <c r="F3">
        <v>63526751.380000003</v>
      </c>
      <c r="G3">
        <v>204.76</v>
      </c>
    </row>
    <row r="4" spans="1:12" x14ac:dyDescent="0.25">
      <c r="A4">
        <v>2020</v>
      </c>
      <c r="B4">
        <v>26</v>
      </c>
      <c r="C4">
        <v>965.58</v>
      </c>
      <c r="D4">
        <v>62423164.039999999</v>
      </c>
      <c r="E4">
        <v>19311551.690000001</v>
      </c>
      <c r="F4">
        <v>81734715.730000004</v>
      </c>
      <c r="G4">
        <v>263.45</v>
      </c>
    </row>
    <row r="5" spans="1:12" x14ac:dyDescent="0.25">
      <c r="A5">
        <v>2021</v>
      </c>
      <c r="B5">
        <v>7</v>
      </c>
      <c r="C5">
        <v>151.77000000000001</v>
      </c>
      <c r="D5">
        <v>62423164.039999999</v>
      </c>
      <c r="E5">
        <v>3035326.44</v>
      </c>
      <c r="F5">
        <v>65458490.490000002</v>
      </c>
      <c r="G5">
        <v>210.99</v>
      </c>
    </row>
    <row r="6" spans="1:12" x14ac:dyDescent="0.25">
      <c r="A6">
        <v>2022</v>
      </c>
      <c r="B6">
        <v>18</v>
      </c>
      <c r="C6">
        <v>706.72</v>
      </c>
      <c r="D6">
        <v>62423164.039999999</v>
      </c>
      <c r="E6">
        <v>14134374.76</v>
      </c>
      <c r="F6">
        <v>76557538.799999997</v>
      </c>
      <c r="G6">
        <v>246.76</v>
      </c>
      <c r="L6" t="s">
        <v>29</v>
      </c>
    </row>
    <row r="7" spans="1:12" x14ac:dyDescent="0.25">
      <c r="A7">
        <v>2023</v>
      </c>
      <c r="B7">
        <v>32</v>
      </c>
      <c r="C7">
        <v>1556.12</v>
      </c>
      <c r="D7">
        <v>62423164.039999999</v>
      </c>
      <c r="E7">
        <v>31122327.16</v>
      </c>
      <c r="F7">
        <v>93545491.200000003</v>
      </c>
      <c r="G7">
        <v>301.52</v>
      </c>
    </row>
    <row r="8" spans="1:12" x14ac:dyDescent="0.25">
      <c r="A8">
        <v>2024</v>
      </c>
      <c r="B8">
        <v>15</v>
      </c>
      <c r="C8">
        <v>860.16</v>
      </c>
      <c r="D8">
        <v>62423164.039999999</v>
      </c>
      <c r="E8">
        <v>17203177.199999999</v>
      </c>
      <c r="F8">
        <v>79626341.239999995</v>
      </c>
      <c r="G8">
        <v>256.64999999999998</v>
      </c>
    </row>
    <row r="10" spans="1:12" x14ac:dyDescent="0.25">
      <c r="A10" s="2" t="s">
        <v>8</v>
      </c>
      <c r="B10" s="2"/>
      <c r="C10" s="2"/>
      <c r="D10" s="2"/>
      <c r="E10" s="2"/>
      <c r="F10" s="2"/>
      <c r="G10" s="2"/>
    </row>
    <row r="11" spans="1:12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>
        <f>SUM(B12:B17)</f>
        <v>84</v>
      </c>
    </row>
    <row r="12" spans="1:12" x14ac:dyDescent="0.25">
      <c r="A12">
        <v>2019</v>
      </c>
      <c r="B12">
        <v>1</v>
      </c>
      <c r="C12">
        <v>15.79</v>
      </c>
      <c r="D12">
        <v>65003165.439999998</v>
      </c>
      <c r="E12">
        <v>315847.78000000003</v>
      </c>
      <c r="F12">
        <v>65319013.219999999</v>
      </c>
      <c r="G12">
        <v>210.54</v>
      </c>
    </row>
    <row r="13" spans="1:12" x14ac:dyDescent="0.25">
      <c r="A13">
        <v>2020</v>
      </c>
      <c r="B13">
        <v>20</v>
      </c>
      <c r="C13">
        <v>841.44</v>
      </c>
      <c r="D13">
        <v>65003165.439999998</v>
      </c>
      <c r="E13">
        <v>16828740.84</v>
      </c>
      <c r="F13">
        <v>81831906.280000001</v>
      </c>
      <c r="G13">
        <v>263.76</v>
      </c>
    </row>
    <row r="14" spans="1:12" x14ac:dyDescent="0.25">
      <c r="A14">
        <v>2021</v>
      </c>
      <c r="B14">
        <v>2</v>
      </c>
      <c r="C14">
        <v>36.18</v>
      </c>
      <c r="D14">
        <v>65003165.439999998</v>
      </c>
      <c r="E14">
        <v>723631.02</v>
      </c>
      <c r="F14">
        <v>65726796.460000001</v>
      </c>
      <c r="G14">
        <v>211.85</v>
      </c>
    </row>
    <row r="15" spans="1:12" x14ac:dyDescent="0.25">
      <c r="A15">
        <v>2022</v>
      </c>
      <c r="B15">
        <v>13</v>
      </c>
      <c r="C15">
        <v>513.1</v>
      </c>
      <c r="D15">
        <v>65003165.439999998</v>
      </c>
      <c r="E15">
        <v>10262093.82</v>
      </c>
      <c r="F15">
        <v>75265259.260000005</v>
      </c>
      <c r="G15">
        <v>242.6</v>
      </c>
    </row>
    <row r="16" spans="1:12" x14ac:dyDescent="0.25">
      <c r="A16">
        <v>2023</v>
      </c>
      <c r="B16">
        <v>34</v>
      </c>
      <c r="C16">
        <v>1538.81</v>
      </c>
      <c r="D16">
        <v>65003165.439999998</v>
      </c>
      <c r="E16">
        <v>30776136.530000001</v>
      </c>
      <c r="F16">
        <v>95779301.969999999</v>
      </c>
      <c r="G16">
        <v>308.72000000000003</v>
      </c>
    </row>
    <row r="17" spans="1:8" x14ac:dyDescent="0.25">
      <c r="A17">
        <v>2024</v>
      </c>
      <c r="B17">
        <v>14</v>
      </c>
      <c r="C17">
        <v>705.47</v>
      </c>
      <c r="D17">
        <v>65003165.439999998</v>
      </c>
      <c r="E17">
        <v>14109492.09</v>
      </c>
      <c r="F17">
        <v>79112657.530000001</v>
      </c>
      <c r="G17">
        <v>255</v>
      </c>
    </row>
    <row r="20" spans="1:8" x14ac:dyDescent="0.25">
      <c r="A20" s="2" t="s">
        <v>9</v>
      </c>
      <c r="B20" s="2"/>
      <c r="C20" s="2"/>
      <c r="D20" s="2"/>
      <c r="E20" s="2"/>
      <c r="F20" s="2"/>
      <c r="G20" s="2"/>
    </row>
    <row r="21" spans="1: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>
        <f>SUM(B22:B27)</f>
        <v>85</v>
      </c>
    </row>
    <row r="22" spans="1:8" x14ac:dyDescent="0.25">
      <c r="A22">
        <v>2019</v>
      </c>
      <c r="B22">
        <v>1</v>
      </c>
      <c r="C22">
        <v>50.81</v>
      </c>
      <c r="D22">
        <v>64414502.219999999</v>
      </c>
      <c r="E22">
        <v>1016285.56</v>
      </c>
      <c r="F22">
        <v>65430787.770000003</v>
      </c>
      <c r="G22">
        <v>210.9</v>
      </c>
    </row>
    <row r="23" spans="1:8" x14ac:dyDescent="0.25">
      <c r="A23">
        <v>2020</v>
      </c>
      <c r="B23">
        <v>18</v>
      </c>
      <c r="C23">
        <v>621.42999999999995</v>
      </c>
      <c r="D23">
        <v>64414502.219999999</v>
      </c>
      <c r="E23">
        <v>12428655.33</v>
      </c>
      <c r="F23">
        <v>76843157.549999997</v>
      </c>
      <c r="G23">
        <v>247.68</v>
      </c>
    </row>
    <row r="24" spans="1:8" x14ac:dyDescent="0.25">
      <c r="A24">
        <v>2021</v>
      </c>
      <c r="B24">
        <v>2</v>
      </c>
      <c r="C24">
        <v>42.46</v>
      </c>
      <c r="D24">
        <v>64414502.219999999</v>
      </c>
      <c r="E24">
        <v>849265.78</v>
      </c>
      <c r="F24">
        <v>65263768</v>
      </c>
      <c r="G24">
        <v>210.36</v>
      </c>
    </row>
    <row r="25" spans="1:8" x14ac:dyDescent="0.25">
      <c r="A25">
        <v>2022</v>
      </c>
      <c r="B25">
        <v>16</v>
      </c>
      <c r="C25">
        <v>645.79999999999995</v>
      </c>
      <c r="D25">
        <v>64414502.219999999</v>
      </c>
      <c r="E25">
        <v>12915981.109999999</v>
      </c>
      <c r="F25">
        <v>77330483.329999998</v>
      </c>
      <c r="G25">
        <v>249.25</v>
      </c>
    </row>
    <row r="26" spans="1:8" x14ac:dyDescent="0.25">
      <c r="A26">
        <v>2023</v>
      </c>
      <c r="B26">
        <v>28</v>
      </c>
      <c r="C26">
        <v>1227.17</v>
      </c>
      <c r="D26">
        <v>64414502.219999999</v>
      </c>
      <c r="E26">
        <v>24543362.359999999</v>
      </c>
      <c r="F26">
        <v>88957864.569999993</v>
      </c>
      <c r="G26">
        <v>286.73</v>
      </c>
    </row>
    <row r="27" spans="1:8" x14ac:dyDescent="0.25">
      <c r="A27">
        <v>2024</v>
      </c>
      <c r="B27">
        <v>20</v>
      </c>
      <c r="C27">
        <v>872.52</v>
      </c>
      <c r="D27">
        <v>64414502.219999999</v>
      </c>
      <c r="E27">
        <v>17450483.420000002</v>
      </c>
      <c r="F27">
        <v>81864985.640000001</v>
      </c>
      <c r="G27">
        <v>263.87</v>
      </c>
    </row>
    <row r="31" spans="1:8" x14ac:dyDescent="0.25">
      <c r="A31" s="2" t="s">
        <v>10</v>
      </c>
      <c r="B31" s="2"/>
      <c r="C31" s="2"/>
      <c r="D31" s="2"/>
      <c r="E31" s="2"/>
      <c r="F31" s="2"/>
      <c r="G31" s="2"/>
    </row>
    <row r="32" spans="1: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>
        <f>SUM(B33:B38)</f>
        <v>85</v>
      </c>
    </row>
    <row r="33" spans="1:14" x14ac:dyDescent="0.25">
      <c r="A33">
        <v>2019</v>
      </c>
      <c r="B33">
        <v>1</v>
      </c>
      <c r="C33">
        <v>50.81</v>
      </c>
      <c r="D33">
        <v>64414502.219999999</v>
      </c>
      <c r="E33">
        <v>1016285.56</v>
      </c>
      <c r="F33">
        <v>65430787.770000003</v>
      </c>
      <c r="G33">
        <v>210.9</v>
      </c>
    </row>
    <row r="34" spans="1:14" x14ac:dyDescent="0.25">
      <c r="A34">
        <v>2020</v>
      </c>
      <c r="B34">
        <v>18</v>
      </c>
      <c r="C34">
        <v>621.42999999999995</v>
      </c>
      <c r="D34">
        <v>64414502.219999999</v>
      </c>
      <c r="E34">
        <v>12428655.33</v>
      </c>
      <c r="F34">
        <v>76843157.549999997</v>
      </c>
      <c r="G34">
        <v>247.68</v>
      </c>
    </row>
    <row r="35" spans="1:14" x14ac:dyDescent="0.25">
      <c r="A35">
        <v>2021</v>
      </c>
      <c r="B35">
        <v>2</v>
      </c>
      <c r="C35">
        <v>42.46</v>
      </c>
      <c r="D35">
        <v>64414502.219999999</v>
      </c>
      <c r="E35">
        <v>849265.78</v>
      </c>
      <c r="F35">
        <v>65263768</v>
      </c>
      <c r="G35">
        <v>210.36</v>
      </c>
    </row>
    <row r="36" spans="1:14" x14ac:dyDescent="0.25">
      <c r="A36">
        <v>2022</v>
      </c>
      <c r="B36">
        <v>16</v>
      </c>
      <c r="C36">
        <v>645.79999999999995</v>
      </c>
      <c r="D36">
        <v>64414502.219999999</v>
      </c>
      <c r="E36">
        <v>12915981.109999999</v>
      </c>
      <c r="F36">
        <v>77330483.329999998</v>
      </c>
      <c r="G36">
        <v>249.25</v>
      </c>
    </row>
    <row r="37" spans="1:14" x14ac:dyDescent="0.25">
      <c r="A37">
        <v>2023</v>
      </c>
      <c r="B37">
        <v>28</v>
      </c>
      <c r="C37">
        <v>1227.17</v>
      </c>
      <c r="D37">
        <v>64414502.219999999</v>
      </c>
      <c r="E37">
        <v>24543362.359999999</v>
      </c>
      <c r="F37">
        <v>88957864.569999993</v>
      </c>
      <c r="G37">
        <v>286.73</v>
      </c>
    </row>
    <row r="38" spans="1:14" x14ac:dyDescent="0.25">
      <c r="A38">
        <v>2024</v>
      </c>
      <c r="B38">
        <v>20</v>
      </c>
      <c r="C38">
        <v>872.52</v>
      </c>
      <c r="D38">
        <v>64414502.219999999</v>
      </c>
      <c r="E38">
        <v>17450483.420000002</v>
      </c>
      <c r="F38">
        <v>81864985.640000001</v>
      </c>
      <c r="G38">
        <v>263.87</v>
      </c>
    </row>
    <row r="39" spans="1:14" x14ac:dyDescent="0.25">
      <c r="K39" t="s">
        <v>30</v>
      </c>
      <c r="L39" t="s">
        <v>20</v>
      </c>
      <c r="M39" t="s">
        <v>32</v>
      </c>
      <c r="N39" t="s">
        <v>16</v>
      </c>
    </row>
    <row r="40" spans="1:14" x14ac:dyDescent="0.25">
      <c r="A40" s="2" t="s">
        <v>11</v>
      </c>
      <c r="B40" s="2"/>
      <c r="C40" s="2"/>
      <c r="D40" s="2"/>
      <c r="E40" s="2"/>
      <c r="F40" s="2"/>
      <c r="G40" s="2"/>
      <c r="J40">
        <v>2019</v>
      </c>
      <c r="K40" s="1">
        <f>B3</f>
        <v>1</v>
      </c>
      <c r="L40" s="1">
        <f>B12</f>
        <v>1</v>
      </c>
      <c r="M40" s="1">
        <f>B22</f>
        <v>1</v>
      </c>
      <c r="N40" s="1">
        <f>B42</f>
        <v>2</v>
      </c>
    </row>
    <row r="41" spans="1:14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>
        <f>SUM(B42:B47)</f>
        <v>93</v>
      </c>
      <c r="J41">
        <v>2020</v>
      </c>
      <c r="K41" s="1">
        <f t="shared" ref="K41:K45" si="0">B4</f>
        <v>26</v>
      </c>
      <c r="L41" s="1">
        <f t="shared" ref="L41:L45" si="1">B13</f>
        <v>20</v>
      </c>
      <c r="M41" s="1">
        <f t="shared" ref="M41:M45" si="2">B23</f>
        <v>18</v>
      </c>
      <c r="N41" s="1">
        <f>B43</f>
        <v>22</v>
      </c>
    </row>
    <row r="42" spans="1:14" x14ac:dyDescent="0.25">
      <c r="A42">
        <v>2019</v>
      </c>
      <c r="B42">
        <v>2</v>
      </c>
      <c r="C42">
        <v>64.849999999999994</v>
      </c>
      <c r="D42">
        <v>62784756.25</v>
      </c>
      <c r="E42">
        <v>1296926.22</v>
      </c>
      <c r="F42">
        <v>64081682.469999999</v>
      </c>
      <c r="G42">
        <v>206.55</v>
      </c>
      <c r="J42">
        <v>2021</v>
      </c>
      <c r="K42" s="1">
        <f t="shared" si="0"/>
        <v>7</v>
      </c>
      <c r="L42" s="1">
        <f t="shared" si="1"/>
        <v>2</v>
      </c>
      <c r="M42" s="1">
        <f t="shared" si="2"/>
        <v>2</v>
      </c>
      <c r="N42" s="1">
        <f>B44</f>
        <v>7</v>
      </c>
    </row>
    <row r="43" spans="1:14" x14ac:dyDescent="0.25">
      <c r="A43">
        <v>2020</v>
      </c>
      <c r="B43">
        <v>22</v>
      </c>
      <c r="C43">
        <v>837.88</v>
      </c>
      <c r="D43">
        <v>62784756.25</v>
      </c>
      <c r="E43">
        <v>16757567.91</v>
      </c>
      <c r="F43">
        <v>79542324.159999996</v>
      </c>
      <c r="G43">
        <v>256.38</v>
      </c>
      <c r="J43">
        <v>2022</v>
      </c>
      <c r="K43" s="1">
        <f t="shared" si="0"/>
        <v>18</v>
      </c>
      <c r="L43" s="1">
        <f t="shared" si="1"/>
        <v>13</v>
      </c>
      <c r="M43" s="1">
        <f t="shared" si="2"/>
        <v>16</v>
      </c>
      <c r="N43" s="1">
        <f>B45</f>
        <v>16</v>
      </c>
    </row>
    <row r="44" spans="1:14" x14ac:dyDescent="0.25">
      <c r="A44">
        <v>2021</v>
      </c>
      <c r="B44">
        <v>7</v>
      </c>
      <c r="C44">
        <v>125.3</v>
      </c>
      <c r="D44">
        <v>62784756.25</v>
      </c>
      <c r="E44">
        <v>2505982.31</v>
      </c>
      <c r="F44">
        <v>65290738.560000002</v>
      </c>
      <c r="G44">
        <v>210.45</v>
      </c>
      <c r="J44">
        <v>2023</v>
      </c>
      <c r="K44" s="1">
        <f t="shared" si="0"/>
        <v>32</v>
      </c>
      <c r="L44" s="1">
        <f t="shared" si="1"/>
        <v>34</v>
      </c>
      <c r="M44" s="1">
        <f t="shared" si="2"/>
        <v>28</v>
      </c>
      <c r="N44" s="1">
        <f>B46</f>
        <v>28</v>
      </c>
    </row>
    <row r="45" spans="1:14" x14ac:dyDescent="0.25">
      <c r="A45">
        <v>2022</v>
      </c>
      <c r="B45">
        <v>16</v>
      </c>
      <c r="C45">
        <v>729.64</v>
      </c>
      <c r="D45">
        <v>62784756.25</v>
      </c>
      <c r="E45">
        <v>14592884.359999999</v>
      </c>
      <c r="F45">
        <v>77377640.599999994</v>
      </c>
      <c r="G45">
        <v>249.4</v>
      </c>
      <c r="J45">
        <v>2024</v>
      </c>
      <c r="K45" s="1">
        <f t="shared" si="0"/>
        <v>15</v>
      </c>
      <c r="L45" s="1">
        <f t="shared" si="1"/>
        <v>14</v>
      </c>
      <c r="M45" s="1">
        <f t="shared" si="2"/>
        <v>20</v>
      </c>
      <c r="N45" s="1">
        <f>B47</f>
        <v>18</v>
      </c>
    </row>
    <row r="46" spans="1:14" x14ac:dyDescent="0.25">
      <c r="A46">
        <v>2023</v>
      </c>
      <c r="B46">
        <v>28</v>
      </c>
      <c r="C46">
        <v>1344.49</v>
      </c>
      <c r="D46">
        <v>62784756.25</v>
      </c>
      <c r="E46">
        <v>26889723.600000001</v>
      </c>
      <c r="F46">
        <v>89674479.849999994</v>
      </c>
      <c r="G46">
        <v>289.04000000000002</v>
      </c>
    </row>
    <row r="47" spans="1:14" x14ac:dyDescent="0.25">
      <c r="A47">
        <v>2024</v>
      </c>
      <c r="B47">
        <v>18</v>
      </c>
      <c r="C47">
        <v>920.34</v>
      </c>
      <c r="D47">
        <v>62784756.25</v>
      </c>
      <c r="E47">
        <v>18406792.579999998</v>
      </c>
      <c r="F47">
        <v>81191548.829999998</v>
      </c>
      <c r="G47">
        <v>261.7</v>
      </c>
    </row>
    <row r="50" spans="1:8" x14ac:dyDescent="0.25">
      <c r="A50" s="2" t="s">
        <v>12</v>
      </c>
      <c r="B50" s="2"/>
      <c r="C50" s="2"/>
      <c r="D50" s="2"/>
      <c r="E50" s="2"/>
      <c r="F50" s="2"/>
      <c r="G50" s="2"/>
    </row>
    <row r="51" spans="1: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>
        <f>SUM(B52:B57)</f>
        <v>84</v>
      </c>
    </row>
    <row r="52" spans="1:8" x14ac:dyDescent="0.25">
      <c r="A52">
        <v>2019</v>
      </c>
      <c r="B52">
        <v>1</v>
      </c>
      <c r="C52">
        <v>15.79</v>
      </c>
      <c r="D52">
        <v>65003165.439999998</v>
      </c>
      <c r="E52">
        <v>315847.78000000003</v>
      </c>
      <c r="F52">
        <v>65319013.219999999</v>
      </c>
      <c r="G52">
        <v>210.54</v>
      </c>
    </row>
    <row r="53" spans="1:8" x14ac:dyDescent="0.25">
      <c r="A53">
        <v>2020</v>
      </c>
      <c r="B53">
        <v>20</v>
      </c>
      <c r="C53">
        <v>841.44</v>
      </c>
      <c r="D53">
        <v>65003165.439999998</v>
      </c>
      <c r="E53">
        <v>16828740.84</v>
      </c>
      <c r="F53">
        <v>81831906.280000001</v>
      </c>
      <c r="G53">
        <v>263.76</v>
      </c>
    </row>
    <row r="54" spans="1:8" x14ac:dyDescent="0.25">
      <c r="A54">
        <v>2021</v>
      </c>
      <c r="B54">
        <v>2</v>
      </c>
      <c r="C54">
        <v>36.18</v>
      </c>
      <c r="D54">
        <v>65003165.439999998</v>
      </c>
      <c r="E54">
        <v>723631.02</v>
      </c>
      <c r="F54">
        <v>65726796.460000001</v>
      </c>
      <c r="G54">
        <v>211.85</v>
      </c>
    </row>
    <row r="55" spans="1:8" x14ac:dyDescent="0.25">
      <c r="A55">
        <v>2022</v>
      </c>
      <c r="B55">
        <v>13</v>
      </c>
      <c r="C55">
        <v>513.1</v>
      </c>
      <c r="D55">
        <v>65003165.439999998</v>
      </c>
      <c r="E55">
        <v>10262093.82</v>
      </c>
      <c r="F55">
        <v>75265259.260000005</v>
      </c>
      <c r="G55">
        <v>242.6</v>
      </c>
    </row>
    <row r="56" spans="1:8" x14ac:dyDescent="0.25">
      <c r="A56">
        <v>2023</v>
      </c>
      <c r="B56">
        <v>34</v>
      </c>
      <c r="C56">
        <v>1538.81</v>
      </c>
      <c r="D56">
        <v>65003165.439999998</v>
      </c>
      <c r="E56">
        <v>30776136.530000001</v>
      </c>
      <c r="F56">
        <v>95779301.969999999</v>
      </c>
      <c r="G56">
        <v>308.72000000000003</v>
      </c>
    </row>
    <row r="57" spans="1:8" x14ac:dyDescent="0.25">
      <c r="A57">
        <v>2024</v>
      </c>
      <c r="B57">
        <v>14</v>
      </c>
      <c r="C57">
        <v>705.47</v>
      </c>
      <c r="D57">
        <v>65003165.439999998</v>
      </c>
      <c r="E57">
        <v>14109492.09</v>
      </c>
      <c r="F57">
        <v>79112657.530000001</v>
      </c>
      <c r="G57">
        <v>255</v>
      </c>
    </row>
    <row r="71" spans="10:16" x14ac:dyDescent="0.25">
      <c r="K71" t="s">
        <v>30</v>
      </c>
      <c r="L71" t="s">
        <v>20</v>
      </c>
      <c r="M71" t="s">
        <v>32</v>
      </c>
      <c r="N71" t="s">
        <v>16</v>
      </c>
      <c r="O71" t="s">
        <v>16</v>
      </c>
      <c r="P71" t="s">
        <v>26</v>
      </c>
    </row>
    <row r="72" spans="10:16" x14ac:dyDescent="0.25">
      <c r="J72" t="s">
        <v>18</v>
      </c>
      <c r="K72" s="1">
        <f t="shared" ref="K72:O72" si="3">SUM(K40:K45)</f>
        <v>99</v>
      </c>
      <c r="L72" s="1">
        <f t="shared" si="3"/>
        <v>84</v>
      </c>
      <c r="M72" s="1">
        <f t="shared" si="3"/>
        <v>85</v>
      </c>
      <c r="N72" s="1">
        <f>SUM(N40:N45)</f>
        <v>93</v>
      </c>
      <c r="O72" s="1">
        <f>SUM(N40:N45)</f>
        <v>93</v>
      </c>
      <c r="P72" s="1">
        <f>SUM(P40:P45)</f>
        <v>0</v>
      </c>
    </row>
  </sheetData>
  <mergeCells count="6">
    <mergeCell ref="A1:G1"/>
    <mergeCell ref="A10:G10"/>
    <mergeCell ref="A20:G20"/>
    <mergeCell ref="A31:G31"/>
    <mergeCell ref="A40:G40"/>
    <mergeCell ref="A50:G5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44B1-B061-4387-8E43-0068342E875B}">
  <dimension ref="A1:P72"/>
  <sheetViews>
    <sheetView topLeftCell="A55" workbookViewId="0">
      <selection activeCell="H96" sqref="H96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25.5703125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11" x14ac:dyDescent="0.25">
      <c r="A1" s="2" t="s">
        <v>7</v>
      </c>
      <c r="B1" s="2"/>
      <c r="C1" s="2"/>
      <c r="D1" s="2"/>
      <c r="E1" s="2"/>
      <c r="F1" s="2"/>
      <c r="G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104</v>
      </c>
    </row>
    <row r="3" spans="1:11" x14ac:dyDescent="0.25">
      <c r="A3">
        <v>2019</v>
      </c>
      <c r="B3">
        <v>15</v>
      </c>
      <c r="C3">
        <v>465.56</v>
      </c>
      <c r="D3">
        <v>62381489.390000001</v>
      </c>
      <c r="E3">
        <v>9311253.1600000001</v>
      </c>
      <c r="F3">
        <v>71692742.540000007</v>
      </c>
      <c r="G3">
        <v>231.08</v>
      </c>
    </row>
    <row r="4" spans="1:11" x14ac:dyDescent="0.25">
      <c r="A4">
        <v>2020</v>
      </c>
      <c r="B4">
        <v>3</v>
      </c>
      <c r="C4">
        <v>75.84</v>
      </c>
      <c r="D4">
        <v>62381489.390000001</v>
      </c>
      <c r="E4">
        <v>1516887.56</v>
      </c>
      <c r="F4">
        <v>63898376.939999998</v>
      </c>
      <c r="G4">
        <v>205.96</v>
      </c>
    </row>
    <row r="5" spans="1:11" x14ac:dyDescent="0.25">
      <c r="A5">
        <v>2021</v>
      </c>
      <c r="B5">
        <v>4</v>
      </c>
      <c r="C5">
        <v>112.46</v>
      </c>
      <c r="D5">
        <v>62381489.390000001</v>
      </c>
      <c r="E5">
        <v>2249239.2000000002</v>
      </c>
      <c r="F5">
        <v>64630728.590000004</v>
      </c>
      <c r="G5">
        <v>208.32</v>
      </c>
      <c r="K5" t="s">
        <v>33</v>
      </c>
    </row>
    <row r="6" spans="1:11" x14ac:dyDescent="0.25">
      <c r="A6">
        <v>2022</v>
      </c>
      <c r="B6">
        <v>16</v>
      </c>
      <c r="C6">
        <v>709.84</v>
      </c>
      <c r="D6">
        <v>62381489.390000001</v>
      </c>
      <c r="E6">
        <v>14196893.07</v>
      </c>
      <c r="F6">
        <v>76578382.450000003</v>
      </c>
      <c r="G6">
        <v>246.83</v>
      </c>
    </row>
    <row r="7" spans="1:11" x14ac:dyDescent="0.25">
      <c r="A7">
        <v>2023</v>
      </c>
      <c r="B7">
        <v>37</v>
      </c>
      <c r="C7">
        <v>1606.52</v>
      </c>
      <c r="D7">
        <v>62381489.390000001</v>
      </c>
      <c r="E7">
        <v>32130377.870000001</v>
      </c>
      <c r="F7">
        <v>94511867.25</v>
      </c>
      <c r="G7">
        <v>304.63</v>
      </c>
    </row>
    <row r="8" spans="1:11" x14ac:dyDescent="0.25">
      <c r="A8">
        <v>2024</v>
      </c>
      <c r="B8">
        <v>29</v>
      </c>
      <c r="C8">
        <v>1690.64</v>
      </c>
      <c r="D8">
        <v>62381489.390000001</v>
      </c>
      <c r="E8">
        <v>33812798.399999999</v>
      </c>
      <c r="F8">
        <v>96194287.790000007</v>
      </c>
      <c r="G8">
        <v>310.05</v>
      </c>
    </row>
    <row r="10" spans="1:11" x14ac:dyDescent="0.25">
      <c r="A10" s="2" t="s">
        <v>8</v>
      </c>
      <c r="B10" s="2"/>
      <c r="C10" s="2"/>
      <c r="D10" s="2"/>
      <c r="E10" s="2"/>
      <c r="F10" s="2"/>
      <c r="G10" s="2"/>
    </row>
    <row r="11" spans="1:1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>
        <f>SUM(B12:B17)</f>
        <v>138</v>
      </c>
    </row>
    <row r="12" spans="1:11" x14ac:dyDescent="0.25">
      <c r="A12">
        <v>2019</v>
      </c>
      <c r="B12">
        <v>18</v>
      </c>
      <c r="C12">
        <v>495.8</v>
      </c>
      <c r="D12">
        <v>61995593.75</v>
      </c>
      <c r="E12">
        <v>9915936.5800000001</v>
      </c>
      <c r="F12">
        <v>71911530.329999998</v>
      </c>
      <c r="G12">
        <v>231.79</v>
      </c>
    </row>
    <row r="13" spans="1:11" x14ac:dyDescent="0.25">
      <c r="A13">
        <v>2020</v>
      </c>
      <c r="B13">
        <v>2</v>
      </c>
      <c r="C13">
        <v>65.069999999999993</v>
      </c>
      <c r="D13">
        <v>61995593.75</v>
      </c>
      <c r="E13">
        <v>1301474.67</v>
      </c>
      <c r="F13">
        <v>63297068.420000002</v>
      </c>
      <c r="G13">
        <v>204.02</v>
      </c>
    </row>
    <row r="14" spans="1:11" x14ac:dyDescent="0.25">
      <c r="A14">
        <v>2021</v>
      </c>
      <c r="B14">
        <v>3</v>
      </c>
      <c r="C14">
        <v>131.25</v>
      </c>
      <c r="D14">
        <v>61995593.75</v>
      </c>
      <c r="E14">
        <v>2624963.6</v>
      </c>
      <c r="F14">
        <v>64620557.350000001</v>
      </c>
      <c r="G14">
        <v>208.29</v>
      </c>
    </row>
    <row r="15" spans="1:11" x14ac:dyDescent="0.25">
      <c r="A15">
        <v>2022</v>
      </c>
      <c r="B15">
        <v>34</v>
      </c>
      <c r="C15">
        <v>1308.5</v>
      </c>
      <c r="D15">
        <v>61995593.75</v>
      </c>
      <c r="E15">
        <v>26169980</v>
      </c>
      <c r="F15">
        <v>88165573.75</v>
      </c>
      <c r="G15">
        <v>284.18</v>
      </c>
    </row>
    <row r="16" spans="1:11" x14ac:dyDescent="0.25">
      <c r="A16">
        <v>2023</v>
      </c>
      <c r="B16">
        <v>43</v>
      </c>
      <c r="C16">
        <v>1920.84</v>
      </c>
      <c r="D16">
        <v>61995593.75</v>
      </c>
      <c r="E16">
        <v>38416715.869999997</v>
      </c>
      <c r="F16">
        <v>100412309.62</v>
      </c>
      <c r="G16">
        <v>323.64999999999998</v>
      </c>
    </row>
    <row r="17" spans="1:8" x14ac:dyDescent="0.25">
      <c r="A17">
        <v>2024</v>
      </c>
      <c r="B17">
        <v>38</v>
      </c>
      <c r="C17">
        <v>1942.27</v>
      </c>
      <c r="D17">
        <v>61995593.75</v>
      </c>
      <c r="E17">
        <v>38845448.039999999</v>
      </c>
      <c r="F17">
        <v>100841041.8</v>
      </c>
      <c r="G17">
        <v>325.02999999999997</v>
      </c>
    </row>
    <row r="20" spans="1:8" x14ac:dyDescent="0.25">
      <c r="A20" s="2" t="s">
        <v>9</v>
      </c>
      <c r="B20" s="2"/>
      <c r="C20" s="2"/>
      <c r="D20" s="2"/>
      <c r="E20" s="2"/>
      <c r="F20" s="2"/>
      <c r="G20" s="2"/>
    </row>
    <row r="21" spans="1: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>
        <f>SUM(B22:B27)</f>
        <v>103</v>
      </c>
    </row>
    <row r="22" spans="1:8" x14ac:dyDescent="0.25">
      <c r="A22">
        <v>2019</v>
      </c>
      <c r="B22">
        <v>15</v>
      </c>
      <c r="C22">
        <v>458.5</v>
      </c>
      <c r="D22">
        <v>62235623.710000001</v>
      </c>
      <c r="E22">
        <v>9169968.9299999997</v>
      </c>
      <c r="F22">
        <v>71405592.640000001</v>
      </c>
      <c r="G22">
        <v>230.16</v>
      </c>
    </row>
    <row r="23" spans="1:8" x14ac:dyDescent="0.25">
      <c r="A23">
        <v>2020</v>
      </c>
      <c r="B23">
        <v>2</v>
      </c>
      <c r="C23">
        <v>76.05</v>
      </c>
      <c r="D23">
        <v>62235623.710000001</v>
      </c>
      <c r="E23">
        <v>1520906.31</v>
      </c>
      <c r="F23">
        <v>63756530.020000003</v>
      </c>
      <c r="G23">
        <v>205.5</v>
      </c>
    </row>
    <row r="24" spans="1:8" x14ac:dyDescent="0.25">
      <c r="A24">
        <v>2021</v>
      </c>
      <c r="B24">
        <v>3</v>
      </c>
      <c r="C24">
        <v>120.24</v>
      </c>
      <c r="D24">
        <v>62235623.710000001</v>
      </c>
      <c r="E24">
        <v>2404868</v>
      </c>
      <c r="F24">
        <v>64640491.710000001</v>
      </c>
      <c r="G24">
        <v>208.35</v>
      </c>
    </row>
    <row r="25" spans="1:8" x14ac:dyDescent="0.25">
      <c r="A25">
        <v>2022</v>
      </c>
      <c r="B25">
        <v>16</v>
      </c>
      <c r="C25">
        <v>731.87</v>
      </c>
      <c r="D25">
        <v>62235623.710000001</v>
      </c>
      <c r="E25">
        <v>14637338.800000001</v>
      </c>
      <c r="F25">
        <v>76872962.510000005</v>
      </c>
      <c r="G25">
        <v>247.78</v>
      </c>
    </row>
    <row r="26" spans="1:8" x14ac:dyDescent="0.25">
      <c r="A26">
        <v>2023</v>
      </c>
      <c r="B26">
        <v>37</v>
      </c>
      <c r="C26">
        <v>1602.15</v>
      </c>
      <c r="D26">
        <v>62235623.710000001</v>
      </c>
      <c r="E26">
        <v>32043044.710000001</v>
      </c>
      <c r="F26">
        <v>94278668.420000002</v>
      </c>
      <c r="G26">
        <v>303.88</v>
      </c>
    </row>
    <row r="27" spans="1:8" x14ac:dyDescent="0.25">
      <c r="A27">
        <v>2024</v>
      </c>
      <c r="B27">
        <v>30</v>
      </c>
      <c r="C27">
        <v>1694.38</v>
      </c>
      <c r="D27">
        <v>62235623.710000001</v>
      </c>
      <c r="E27">
        <v>33887621.560000002</v>
      </c>
      <c r="F27">
        <v>96123245.260000005</v>
      </c>
      <c r="G27">
        <v>309.83</v>
      </c>
    </row>
    <row r="31" spans="1:8" x14ac:dyDescent="0.25">
      <c r="A31" s="2" t="s">
        <v>10</v>
      </c>
      <c r="B31" s="2"/>
      <c r="C31" s="2"/>
      <c r="D31" s="2"/>
      <c r="E31" s="2"/>
      <c r="F31" s="2"/>
      <c r="G31" s="2"/>
    </row>
    <row r="32" spans="1: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>
        <f>SUM(B33:B38)</f>
        <v>138</v>
      </c>
    </row>
    <row r="33" spans="1:16" x14ac:dyDescent="0.25">
      <c r="A33">
        <v>2019</v>
      </c>
      <c r="B33">
        <v>18</v>
      </c>
      <c r="C33">
        <v>495.8</v>
      </c>
      <c r="D33">
        <v>61995593.75</v>
      </c>
      <c r="E33">
        <v>9915936.5800000001</v>
      </c>
      <c r="F33">
        <v>71911530.329999998</v>
      </c>
      <c r="G33">
        <v>231.79</v>
      </c>
    </row>
    <row r="34" spans="1:16" x14ac:dyDescent="0.25">
      <c r="A34">
        <v>2020</v>
      </c>
      <c r="B34">
        <v>2</v>
      </c>
      <c r="C34">
        <v>65.069999999999993</v>
      </c>
      <c r="D34">
        <v>61995593.75</v>
      </c>
      <c r="E34">
        <v>1301474.67</v>
      </c>
      <c r="F34">
        <v>63297068.420000002</v>
      </c>
      <c r="G34">
        <v>204.02</v>
      </c>
    </row>
    <row r="35" spans="1:16" x14ac:dyDescent="0.25">
      <c r="A35">
        <v>2021</v>
      </c>
      <c r="B35">
        <v>3</v>
      </c>
      <c r="C35">
        <v>131.25</v>
      </c>
      <c r="D35">
        <v>61995593.75</v>
      </c>
      <c r="E35">
        <v>2624963.6</v>
      </c>
      <c r="F35">
        <v>64620557.350000001</v>
      </c>
      <c r="G35">
        <v>208.29</v>
      </c>
    </row>
    <row r="36" spans="1:16" x14ac:dyDescent="0.25">
      <c r="A36">
        <v>2022</v>
      </c>
      <c r="B36">
        <v>34</v>
      </c>
      <c r="C36">
        <v>1308.5</v>
      </c>
      <c r="D36">
        <v>61995593.75</v>
      </c>
      <c r="E36">
        <v>26169980</v>
      </c>
      <c r="F36">
        <v>88165573.75</v>
      </c>
      <c r="G36">
        <v>284.18</v>
      </c>
    </row>
    <row r="37" spans="1:16" x14ac:dyDescent="0.25">
      <c r="A37">
        <v>2023</v>
      </c>
      <c r="B37">
        <v>43</v>
      </c>
      <c r="C37">
        <v>1920.84</v>
      </c>
      <c r="D37">
        <v>61995593.75</v>
      </c>
      <c r="E37">
        <v>38416715.869999997</v>
      </c>
      <c r="F37">
        <v>100412309.62</v>
      </c>
      <c r="G37">
        <v>323.64999999999998</v>
      </c>
    </row>
    <row r="38" spans="1:16" x14ac:dyDescent="0.25">
      <c r="A38">
        <v>2024</v>
      </c>
      <c r="B38">
        <v>38</v>
      </c>
      <c r="C38">
        <v>1942.27</v>
      </c>
      <c r="D38">
        <v>61995593.75</v>
      </c>
      <c r="E38">
        <v>38845448.039999999</v>
      </c>
      <c r="F38">
        <v>100841041.8</v>
      </c>
      <c r="G38">
        <v>325.02999999999997</v>
      </c>
    </row>
    <row r="39" spans="1:16" x14ac:dyDescent="0.25">
      <c r="K39" t="s">
        <v>35</v>
      </c>
      <c r="L39" t="s">
        <v>36</v>
      </c>
      <c r="M39" t="s">
        <v>21</v>
      </c>
      <c r="N39" t="s">
        <v>27</v>
      </c>
      <c r="O39" t="s">
        <v>16</v>
      </c>
      <c r="P39" t="s">
        <v>26</v>
      </c>
    </row>
    <row r="40" spans="1:16" x14ac:dyDescent="0.25">
      <c r="A40" s="2" t="s">
        <v>11</v>
      </c>
      <c r="B40" s="2"/>
      <c r="C40" s="2"/>
      <c r="D40" s="2"/>
      <c r="E40" s="2"/>
      <c r="F40" s="2"/>
      <c r="G40" s="2"/>
      <c r="J40">
        <v>2019</v>
      </c>
      <c r="K40" s="1">
        <f>B3</f>
        <v>15</v>
      </c>
      <c r="L40" s="1">
        <f>B12</f>
        <v>18</v>
      </c>
      <c r="M40" s="1">
        <f>B22</f>
        <v>15</v>
      </c>
      <c r="N40">
        <f>B33</f>
        <v>18</v>
      </c>
      <c r="O40" s="1">
        <f>B42</f>
        <v>15</v>
      </c>
      <c r="P40">
        <f t="shared" ref="P40:P45" si="0">B52</f>
        <v>18</v>
      </c>
    </row>
    <row r="41" spans="1:16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>
        <f>SUM(B42:B47)</f>
        <v>104</v>
      </c>
      <c r="J41">
        <v>2020</v>
      </c>
      <c r="K41" s="1">
        <f t="shared" ref="K41:K45" si="1">B4</f>
        <v>3</v>
      </c>
      <c r="L41" s="1">
        <f t="shared" ref="L41:L45" si="2">B13</f>
        <v>2</v>
      </c>
      <c r="M41" s="1">
        <f t="shared" ref="M41:M45" si="3">B23</f>
        <v>2</v>
      </c>
      <c r="N41">
        <f t="shared" ref="N41:N45" si="4">B34</f>
        <v>2</v>
      </c>
      <c r="O41" s="1">
        <f t="shared" ref="O41:O45" si="5">B43</f>
        <v>3</v>
      </c>
      <c r="P41">
        <f t="shared" si="0"/>
        <v>2</v>
      </c>
    </row>
    <row r="42" spans="1:16" x14ac:dyDescent="0.25">
      <c r="A42">
        <v>2019</v>
      </c>
      <c r="B42">
        <v>15</v>
      </c>
      <c r="C42">
        <v>465.56</v>
      </c>
      <c r="D42">
        <v>62381489.390000001</v>
      </c>
      <c r="E42">
        <v>9311253.1600000001</v>
      </c>
      <c r="F42">
        <v>71692742.540000007</v>
      </c>
      <c r="G42">
        <v>231.08</v>
      </c>
      <c r="J42">
        <v>2021</v>
      </c>
      <c r="K42" s="1">
        <f t="shared" si="1"/>
        <v>4</v>
      </c>
      <c r="L42" s="1">
        <f t="shared" si="2"/>
        <v>3</v>
      </c>
      <c r="M42" s="1">
        <f t="shared" si="3"/>
        <v>3</v>
      </c>
      <c r="N42">
        <f t="shared" si="4"/>
        <v>3</v>
      </c>
      <c r="O42" s="1">
        <f t="shared" si="5"/>
        <v>4</v>
      </c>
      <c r="P42">
        <f t="shared" si="0"/>
        <v>3</v>
      </c>
    </row>
    <row r="43" spans="1:16" x14ac:dyDescent="0.25">
      <c r="A43">
        <v>2020</v>
      </c>
      <c r="B43">
        <v>3</v>
      </c>
      <c r="C43">
        <v>75.84</v>
      </c>
      <c r="D43">
        <v>62381489.390000001</v>
      </c>
      <c r="E43">
        <v>1516887.56</v>
      </c>
      <c r="F43">
        <v>63898376.939999998</v>
      </c>
      <c r="G43">
        <v>205.96</v>
      </c>
      <c r="J43">
        <v>2022</v>
      </c>
      <c r="K43" s="1">
        <f t="shared" si="1"/>
        <v>16</v>
      </c>
      <c r="L43" s="1">
        <f t="shared" si="2"/>
        <v>34</v>
      </c>
      <c r="M43" s="1">
        <f t="shared" si="3"/>
        <v>16</v>
      </c>
      <c r="N43">
        <f t="shared" si="4"/>
        <v>34</v>
      </c>
      <c r="O43" s="1">
        <f t="shared" si="5"/>
        <v>16</v>
      </c>
      <c r="P43">
        <f t="shared" si="0"/>
        <v>34</v>
      </c>
    </row>
    <row r="44" spans="1:16" x14ac:dyDescent="0.25">
      <c r="A44">
        <v>2021</v>
      </c>
      <c r="B44">
        <v>4</v>
      </c>
      <c r="C44">
        <v>112.46</v>
      </c>
      <c r="D44">
        <v>62381489.390000001</v>
      </c>
      <c r="E44">
        <v>2249239.2000000002</v>
      </c>
      <c r="F44">
        <v>64630728.590000004</v>
      </c>
      <c r="G44">
        <v>208.32</v>
      </c>
      <c r="J44">
        <v>2023</v>
      </c>
      <c r="K44" s="1">
        <f t="shared" si="1"/>
        <v>37</v>
      </c>
      <c r="L44" s="1">
        <f t="shared" si="2"/>
        <v>43</v>
      </c>
      <c r="M44" s="1">
        <f t="shared" si="3"/>
        <v>37</v>
      </c>
      <c r="N44">
        <f t="shared" si="4"/>
        <v>43</v>
      </c>
      <c r="O44" s="1">
        <f t="shared" si="5"/>
        <v>37</v>
      </c>
      <c r="P44">
        <f t="shared" si="0"/>
        <v>43</v>
      </c>
    </row>
    <row r="45" spans="1:16" x14ac:dyDescent="0.25">
      <c r="A45">
        <v>2022</v>
      </c>
      <c r="B45">
        <v>16</v>
      </c>
      <c r="C45">
        <v>709.84</v>
      </c>
      <c r="D45">
        <v>62381489.390000001</v>
      </c>
      <c r="E45">
        <v>14196893.07</v>
      </c>
      <c r="F45">
        <v>76578382.450000003</v>
      </c>
      <c r="G45">
        <v>246.83</v>
      </c>
      <c r="J45">
        <v>2024</v>
      </c>
      <c r="K45" s="1">
        <f t="shared" si="1"/>
        <v>29</v>
      </c>
      <c r="L45" s="1">
        <f t="shared" si="2"/>
        <v>38</v>
      </c>
      <c r="M45" s="1">
        <f t="shared" si="3"/>
        <v>30</v>
      </c>
      <c r="N45">
        <f t="shared" si="4"/>
        <v>38</v>
      </c>
      <c r="O45" s="1">
        <f t="shared" si="5"/>
        <v>29</v>
      </c>
      <c r="P45">
        <f t="shared" si="0"/>
        <v>38</v>
      </c>
    </row>
    <row r="46" spans="1:16" x14ac:dyDescent="0.25">
      <c r="A46">
        <v>2023</v>
      </c>
      <c r="B46">
        <v>37</v>
      </c>
      <c r="C46">
        <v>1606.52</v>
      </c>
      <c r="D46">
        <v>62381489.390000001</v>
      </c>
      <c r="E46">
        <v>32130377.870000001</v>
      </c>
      <c r="F46">
        <v>94511867.25</v>
      </c>
      <c r="G46">
        <v>304.63</v>
      </c>
    </row>
    <row r="47" spans="1:16" x14ac:dyDescent="0.25">
      <c r="A47">
        <v>2024</v>
      </c>
      <c r="B47">
        <v>29</v>
      </c>
      <c r="C47">
        <v>1690.64</v>
      </c>
      <c r="D47">
        <v>62381489.390000001</v>
      </c>
      <c r="E47">
        <v>33812798.399999999</v>
      </c>
      <c r="F47">
        <v>96194287.790000007</v>
      </c>
      <c r="G47">
        <v>310.05</v>
      </c>
    </row>
    <row r="50" spans="1:8" x14ac:dyDescent="0.25">
      <c r="A50" s="2" t="s">
        <v>12</v>
      </c>
      <c r="B50" s="2"/>
      <c r="C50" s="2"/>
      <c r="D50" s="2"/>
      <c r="E50" s="2"/>
      <c r="F50" s="2"/>
      <c r="G50" s="2"/>
    </row>
    <row r="51" spans="1: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>
        <f>SUM(B52:B57)</f>
        <v>138</v>
      </c>
    </row>
    <row r="52" spans="1:8" x14ac:dyDescent="0.25">
      <c r="A52">
        <v>2019</v>
      </c>
      <c r="B52">
        <v>18</v>
      </c>
      <c r="C52">
        <v>495.8</v>
      </c>
      <c r="D52">
        <v>61995593.75</v>
      </c>
      <c r="E52">
        <v>9915936.5800000001</v>
      </c>
      <c r="F52">
        <v>71911530.329999998</v>
      </c>
      <c r="G52">
        <v>231.79</v>
      </c>
    </row>
    <row r="53" spans="1:8" x14ac:dyDescent="0.25">
      <c r="A53">
        <v>2020</v>
      </c>
      <c r="B53">
        <v>2</v>
      </c>
      <c r="C53">
        <v>65.069999999999993</v>
      </c>
      <c r="D53">
        <v>61995593.75</v>
      </c>
      <c r="E53">
        <v>1301474.67</v>
      </c>
      <c r="F53">
        <v>63297068.420000002</v>
      </c>
      <c r="G53">
        <v>204.02</v>
      </c>
    </row>
    <row r="54" spans="1:8" x14ac:dyDescent="0.25">
      <c r="A54">
        <v>2021</v>
      </c>
      <c r="B54">
        <v>3</v>
      </c>
      <c r="C54">
        <v>131.25</v>
      </c>
      <c r="D54">
        <v>61995593.75</v>
      </c>
      <c r="E54">
        <v>2624963.6</v>
      </c>
      <c r="F54">
        <v>64620557.350000001</v>
      </c>
      <c r="G54">
        <v>208.29</v>
      </c>
    </row>
    <row r="55" spans="1:8" x14ac:dyDescent="0.25">
      <c r="A55">
        <v>2022</v>
      </c>
      <c r="B55">
        <v>34</v>
      </c>
      <c r="C55">
        <v>1308.5</v>
      </c>
      <c r="D55">
        <v>61995593.75</v>
      </c>
      <c r="E55">
        <v>26169980</v>
      </c>
      <c r="F55">
        <v>88165573.75</v>
      </c>
      <c r="G55">
        <v>284.18</v>
      </c>
    </row>
    <row r="56" spans="1:8" x14ac:dyDescent="0.25">
      <c r="A56">
        <v>2023</v>
      </c>
      <c r="B56">
        <v>43</v>
      </c>
      <c r="C56">
        <v>1920.84</v>
      </c>
      <c r="D56">
        <v>61995593.75</v>
      </c>
      <c r="E56">
        <v>38416715.869999997</v>
      </c>
      <c r="F56">
        <v>100412309.62</v>
      </c>
      <c r="G56">
        <v>323.64999999999998</v>
      </c>
    </row>
    <row r="57" spans="1:8" x14ac:dyDescent="0.25">
      <c r="A57">
        <v>2024</v>
      </c>
      <c r="B57">
        <v>38</v>
      </c>
      <c r="C57">
        <v>1942.27</v>
      </c>
      <c r="D57">
        <v>61995593.75</v>
      </c>
      <c r="E57">
        <v>38845448.039999999</v>
      </c>
      <c r="F57">
        <v>100841041.8</v>
      </c>
      <c r="G57">
        <v>325.02999999999997</v>
      </c>
    </row>
    <row r="71" spans="10:16" x14ac:dyDescent="0.25">
      <c r="K71" t="s">
        <v>35</v>
      </c>
      <c r="L71" t="s">
        <v>36</v>
      </c>
      <c r="M71" t="s">
        <v>21</v>
      </c>
      <c r="N71" t="s">
        <v>27</v>
      </c>
      <c r="O71" t="s">
        <v>16</v>
      </c>
      <c r="P71" t="s">
        <v>26</v>
      </c>
    </row>
    <row r="72" spans="10:16" x14ac:dyDescent="0.25">
      <c r="J72" t="s">
        <v>18</v>
      </c>
      <c r="K72" s="1">
        <f t="shared" ref="K72:O72" si="6">SUM(K40:K45)</f>
        <v>104</v>
      </c>
      <c r="L72" s="1">
        <f t="shared" si="6"/>
        <v>138</v>
      </c>
      <c r="M72" s="1">
        <f t="shared" si="6"/>
        <v>103</v>
      </c>
      <c r="N72" s="1">
        <f t="shared" si="6"/>
        <v>138</v>
      </c>
      <c r="O72" s="1">
        <f t="shared" si="6"/>
        <v>104</v>
      </c>
      <c r="P72" s="1">
        <f>SUM(P40:P45)</f>
        <v>138</v>
      </c>
    </row>
  </sheetData>
  <mergeCells count="6">
    <mergeCell ref="A1:G1"/>
    <mergeCell ref="A10:G10"/>
    <mergeCell ref="A20:G20"/>
    <mergeCell ref="A31:G31"/>
    <mergeCell ref="A40:G40"/>
    <mergeCell ref="A50:G5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057A-EACB-4FF8-94BA-43410FAA1245}">
  <dimension ref="A1:O73"/>
  <sheetViews>
    <sheetView tabSelected="1" topLeftCell="H67" workbookViewId="0">
      <selection activeCell="K99" sqref="K99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31.140625" bestFit="1" customWidth="1"/>
    <col min="12" max="12" width="19.28515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40</v>
      </c>
    </row>
    <row r="3" spans="1:8" x14ac:dyDescent="0.25">
      <c r="A3">
        <v>2019</v>
      </c>
      <c r="B3">
        <v>0</v>
      </c>
      <c r="C3">
        <v>0</v>
      </c>
      <c r="D3">
        <v>100685473.25</v>
      </c>
      <c r="E3">
        <v>0</v>
      </c>
      <c r="F3">
        <v>100685473.25</v>
      </c>
      <c r="G3">
        <v>324.52999999999997</v>
      </c>
    </row>
    <row r="4" spans="1:8" x14ac:dyDescent="0.25">
      <c r="A4">
        <v>2020</v>
      </c>
      <c r="B4">
        <v>3</v>
      </c>
      <c r="C4">
        <v>139.63999999999999</v>
      </c>
      <c r="D4">
        <v>100685473.25</v>
      </c>
      <c r="E4">
        <v>2792788.13</v>
      </c>
      <c r="F4">
        <v>103478261.38</v>
      </c>
      <c r="G4">
        <v>333.53</v>
      </c>
    </row>
    <row r="5" spans="1:8" x14ac:dyDescent="0.25">
      <c r="A5">
        <v>2021</v>
      </c>
      <c r="B5">
        <v>10</v>
      </c>
      <c r="C5">
        <v>296.95</v>
      </c>
      <c r="D5">
        <v>100685473.25</v>
      </c>
      <c r="E5">
        <v>5939018.04</v>
      </c>
      <c r="F5">
        <v>106624491.29000001</v>
      </c>
      <c r="G5">
        <v>343.67</v>
      </c>
    </row>
    <row r="6" spans="1:8" x14ac:dyDescent="0.25">
      <c r="A6">
        <v>2022</v>
      </c>
      <c r="B6">
        <v>0</v>
      </c>
      <c r="C6">
        <v>0</v>
      </c>
      <c r="D6">
        <v>100685473.25</v>
      </c>
      <c r="E6">
        <v>0</v>
      </c>
      <c r="F6">
        <v>100685473.25</v>
      </c>
      <c r="G6">
        <v>324.52999999999997</v>
      </c>
    </row>
    <row r="7" spans="1:8" x14ac:dyDescent="0.25">
      <c r="A7">
        <v>2023</v>
      </c>
      <c r="B7">
        <v>4</v>
      </c>
      <c r="C7">
        <v>222.75</v>
      </c>
      <c r="D7">
        <v>100685473.25</v>
      </c>
      <c r="E7">
        <v>4455030.13</v>
      </c>
      <c r="F7">
        <v>105140503.38</v>
      </c>
      <c r="G7">
        <v>338.89</v>
      </c>
    </row>
    <row r="8" spans="1:8" x14ac:dyDescent="0.25">
      <c r="A8">
        <v>2024</v>
      </c>
      <c r="B8">
        <v>23</v>
      </c>
      <c r="C8">
        <v>952.18</v>
      </c>
      <c r="D8">
        <v>100685473.25</v>
      </c>
      <c r="E8">
        <v>19043560.800000001</v>
      </c>
      <c r="F8">
        <v>119729034.05</v>
      </c>
      <c r="G8">
        <v>385.91</v>
      </c>
    </row>
    <row r="11" spans="1:8" x14ac:dyDescent="0.25">
      <c r="A11" s="2" t="s">
        <v>8</v>
      </c>
      <c r="B11" s="2"/>
      <c r="C11" s="2"/>
      <c r="D11" s="2"/>
      <c r="E11" s="2"/>
      <c r="F11" s="2"/>
      <c r="G11" s="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>
        <f>SUM(B13:B18)</f>
        <v>36</v>
      </c>
    </row>
    <row r="13" spans="1:8" x14ac:dyDescent="0.25">
      <c r="A13">
        <v>2019</v>
      </c>
      <c r="B13">
        <v>0</v>
      </c>
      <c r="C13">
        <v>0</v>
      </c>
      <c r="D13">
        <v>99276989.400000006</v>
      </c>
      <c r="E13">
        <v>0</v>
      </c>
      <c r="F13">
        <v>99276989.400000006</v>
      </c>
      <c r="G13">
        <v>319.99</v>
      </c>
    </row>
    <row r="14" spans="1:8" x14ac:dyDescent="0.25">
      <c r="A14">
        <v>2020</v>
      </c>
      <c r="B14">
        <v>4</v>
      </c>
      <c r="C14">
        <v>153.66</v>
      </c>
      <c r="D14">
        <v>99276989.400000006</v>
      </c>
      <c r="E14">
        <v>3073281.91</v>
      </c>
      <c r="F14">
        <v>102350271.31</v>
      </c>
      <c r="G14">
        <v>329.9</v>
      </c>
    </row>
    <row r="15" spans="1:8" x14ac:dyDescent="0.25">
      <c r="A15">
        <v>2021</v>
      </c>
      <c r="B15">
        <v>12</v>
      </c>
      <c r="C15">
        <v>351.89</v>
      </c>
      <c r="D15">
        <v>99276989.400000006</v>
      </c>
      <c r="E15">
        <v>7037712.4900000002</v>
      </c>
      <c r="F15">
        <v>106314701.88</v>
      </c>
      <c r="G15">
        <v>342.67</v>
      </c>
    </row>
    <row r="16" spans="1:8" x14ac:dyDescent="0.25">
      <c r="A16">
        <v>2022</v>
      </c>
      <c r="B16">
        <v>0</v>
      </c>
      <c r="C16">
        <v>0</v>
      </c>
      <c r="D16">
        <v>99276989.400000006</v>
      </c>
      <c r="E16">
        <v>0</v>
      </c>
      <c r="F16">
        <v>99276989.400000006</v>
      </c>
      <c r="G16">
        <v>319.99</v>
      </c>
    </row>
    <row r="17" spans="1:8" x14ac:dyDescent="0.25">
      <c r="A17">
        <v>2023</v>
      </c>
      <c r="B17">
        <v>3</v>
      </c>
      <c r="C17">
        <v>211.48</v>
      </c>
      <c r="D17">
        <v>99276989.400000006</v>
      </c>
      <c r="E17">
        <v>4229676.3099999996</v>
      </c>
      <c r="F17">
        <v>103506665.70999999</v>
      </c>
      <c r="G17">
        <v>333.62</v>
      </c>
    </row>
    <row r="18" spans="1:8" x14ac:dyDescent="0.25">
      <c r="A18">
        <v>2024</v>
      </c>
      <c r="B18">
        <v>17</v>
      </c>
      <c r="C18">
        <v>682.79</v>
      </c>
      <c r="D18">
        <v>99276989.400000006</v>
      </c>
      <c r="E18">
        <v>13655868.98</v>
      </c>
      <c r="F18">
        <v>112932858.37</v>
      </c>
      <c r="G18">
        <v>364.01</v>
      </c>
    </row>
    <row r="21" spans="1:8" x14ac:dyDescent="0.25">
      <c r="A21" s="2" t="s">
        <v>9</v>
      </c>
      <c r="B21" s="2"/>
      <c r="C21" s="2"/>
      <c r="D21" s="2"/>
      <c r="E21" s="2"/>
      <c r="F21" s="2"/>
      <c r="G21" s="2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>
        <f>SUM(B23:B28)</f>
        <v>37</v>
      </c>
    </row>
    <row r="23" spans="1:8" x14ac:dyDescent="0.25">
      <c r="A23">
        <v>2019</v>
      </c>
      <c r="B23">
        <v>0</v>
      </c>
      <c r="C23">
        <v>0</v>
      </c>
      <c r="D23">
        <v>99267749.909999996</v>
      </c>
      <c r="E23">
        <v>0</v>
      </c>
      <c r="F23">
        <v>99267749.909999996</v>
      </c>
      <c r="G23">
        <v>319.95999999999998</v>
      </c>
    </row>
    <row r="24" spans="1:8" x14ac:dyDescent="0.25">
      <c r="A24">
        <v>2020</v>
      </c>
      <c r="B24">
        <v>4</v>
      </c>
      <c r="C24">
        <v>154.18</v>
      </c>
      <c r="D24">
        <v>99267749.909999996</v>
      </c>
      <c r="E24">
        <v>3083602.8</v>
      </c>
      <c r="F24">
        <v>102351352.70999999</v>
      </c>
      <c r="G24">
        <v>329.9</v>
      </c>
    </row>
    <row r="25" spans="1:8" x14ac:dyDescent="0.25">
      <c r="A25">
        <v>2021</v>
      </c>
      <c r="B25">
        <v>13</v>
      </c>
      <c r="C25">
        <v>352.23</v>
      </c>
      <c r="D25">
        <v>99267749.909999996</v>
      </c>
      <c r="E25">
        <v>7044598.5300000003</v>
      </c>
      <c r="F25">
        <v>106312348.45</v>
      </c>
      <c r="G25">
        <v>342.67</v>
      </c>
    </row>
    <row r="26" spans="1:8" x14ac:dyDescent="0.25">
      <c r="A26">
        <v>2022</v>
      </c>
      <c r="B26">
        <v>0</v>
      </c>
      <c r="C26">
        <v>0</v>
      </c>
      <c r="D26">
        <v>99267749.909999996</v>
      </c>
      <c r="E26">
        <v>0</v>
      </c>
      <c r="F26">
        <v>99267749.909999996</v>
      </c>
      <c r="G26">
        <v>319.95999999999998</v>
      </c>
    </row>
    <row r="27" spans="1:8" x14ac:dyDescent="0.25">
      <c r="A27">
        <v>2023</v>
      </c>
      <c r="B27">
        <v>3</v>
      </c>
      <c r="C27">
        <v>211.75</v>
      </c>
      <c r="D27">
        <v>99267749.909999996</v>
      </c>
      <c r="E27">
        <v>4234902.9800000004</v>
      </c>
      <c r="F27">
        <v>103502652.89</v>
      </c>
      <c r="G27">
        <v>333.61</v>
      </c>
    </row>
    <row r="28" spans="1:8" x14ac:dyDescent="0.25">
      <c r="A28">
        <v>2024</v>
      </c>
      <c r="B28">
        <v>17</v>
      </c>
      <c r="C28">
        <v>683.84</v>
      </c>
      <c r="D28">
        <v>99267749.909999996</v>
      </c>
      <c r="E28">
        <v>13676873.02</v>
      </c>
      <c r="F28">
        <v>112944622.94</v>
      </c>
      <c r="G28">
        <v>364.04</v>
      </c>
    </row>
    <row r="32" spans="1:8" x14ac:dyDescent="0.25">
      <c r="A32" s="2" t="s">
        <v>10</v>
      </c>
      <c r="B32" s="2"/>
      <c r="C32" s="2"/>
      <c r="D32" s="2"/>
      <c r="E32" s="2"/>
      <c r="F32" s="2"/>
      <c r="G32" s="2"/>
    </row>
    <row r="33" spans="1:14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>
        <f>SUM(B34:B39)</f>
        <v>36</v>
      </c>
    </row>
    <row r="34" spans="1:14" x14ac:dyDescent="0.25">
      <c r="A34">
        <v>2019</v>
      </c>
      <c r="B34">
        <v>0</v>
      </c>
      <c r="C34">
        <v>0</v>
      </c>
      <c r="D34">
        <v>99276989.400000006</v>
      </c>
      <c r="E34">
        <v>0</v>
      </c>
      <c r="F34">
        <v>99276989.400000006</v>
      </c>
      <c r="G34">
        <v>319.99</v>
      </c>
    </row>
    <row r="35" spans="1:14" x14ac:dyDescent="0.25">
      <c r="A35">
        <v>2020</v>
      </c>
      <c r="B35">
        <v>4</v>
      </c>
      <c r="C35">
        <v>153.66</v>
      </c>
      <c r="D35">
        <v>99276989.400000006</v>
      </c>
      <c r="E35">
        <v>3073281.91</v>
      </c>
      <c r="F35">
        <v>102350271.31</v>
      </c>
      <c r="G35">
        <v>329.9</v>
      </c>
    </row>
    <row r="36" spans="1:14" x14ac:dyDescent="0.25">
      <c r="A36">
        <v>2021</v>
      </c>
      <c r="B36">
        <v>12</v>
      </c>
      <c r="C36">
        <v>351.89</v>
      </c>
      <c r="D36">
        <v>99276989.400000006</v>
      </c>
      <c r="E36">
        <v>7037712.4900000002</v>
      </c>
      <c r="F36">
        <v>106314701.88</v>
      </c>
      <c r="G36">
        <v>342.67</v>
      </c>
    </row>
    <row r="37" spans="1:14" x14ac:dyDescent="0.25">
      <c r="A37">
        <v>2022</v>
      </c>
      <c r="B37">
        <v>0</v>
      </c>
      <c r="C37">
        <v>0</v>
      </c>
      <c r="D37">
        <v>99276989.400000006</v>
      </c>
      <c r="E37">
        <v>0</v>
      </c>
      <c r="F37">
        <v>99276989.400000006</v>
      </c>
      <c r="G37">
        <v>319.99</v>
      </c>
    </row>
    <row r="38" spans="1:14" x14ac:dyDescent="0.25">
      <c r="A38">
        <v>2023</v>
      </c>
      <c r="B38">
        <v>3</v>
      </c>
      <c r="C38">
        <v>211.48</v>
      </c>
      <c r="D38">
        <v>99276989.400000006</v>
      </c>
      <c r="E38">
        <v>4229676.3099999996</v>
      </c>
      <c r="F38">
        <v>103506665.70999999</v>
      </c>
      <c r="G38">
        <v>333.62</v>
      </c>
    </row>
    <row r="39" spans="1:14" x14ac:dyDescent="0.25">
      <c r="A39">
        <v>2024</v>
      </c>
      <c r="B39">
        <v>17</v>
      </c>
      <c r="C39">
        <v>682.79</v>
      </c>
      <c r="D39">
        <v>99276989.400000006</v>
      </c>
      <c r="E39">
        <v>13655868.98</v>
      </c>
      <c r="F39">
        <v>112932858.37</v>
      </c>
      <c r="G39">
        <v>364.01</v>
      </c>
    </row>
    <row r="40" spans="1:14" x14ac:dyDescent="0.25">
      <c r="K40" t="s">
        <v>24</v>
      </c>
      <c r="L40" t="s">
        <v>23</v>
      </c>
      <c r="M40" t="s">
        <v>21</v>
      </c>
      <c r="N40" t="s">
        <v>16</v>
      </c>
    </row>
    <row r="41" spans="1:14" x14ac:dyDescent="0.25">
      <c r="A41" s="2" t="s">
        <v>11</v>
      </c>
      <c r="B41" s="2"/>
      <c r="C41" s="2"/>
      <c r="D41" s="2"/>
      <c r="E41" s="2"/>
      <c r="F41" s="2"/>
      <c r="G41" s="2"/>
      <c r="J41">
        <v>2019</v>
      </c>
      <c r="K41" s="1">
        <f>B3</f>
        <v>0</v>
      </c>
      <c r="L41" s="1">
        <f>B13</f>
        <v>0</v>
      </c>
      <c r="M41" s="1">
        <f>B23</f>
        <v>0</v>
      </c>
      <c r="N41" cm="1">
        <f t="array" ref="N41:N46">B43:B48</f>
        <v>0</v>
      </c>
    </row>
    <row r="42" spans="1:14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>
        <f>SUM(B43:B48)</f>
        <v>40</v>
      </c>
      <c r="J42">
        <v>2020</v>
      </c>
      <c r="K42" s="1">
        <f t="shared" ref="K42:K46" si="0">B4</f>
        <v>3</v>
      </c>
      <c r="L42" s="1">
        <f t="shared" ref="L42:L46" si="1">B14</f>
        <v>4</v>
      </c>
      <c r="M42" s="1">
        <f t="shared" ref="M42:M46" si="2">B24</f>
        <v>4</v>
      </c>
      <c r="N42">
        <v>3</v>
      </c>
    </row>
    <row r="43" spans="1:14" x14ac:dyDescent="0.25">
      <c r="A43">
        <v>2019</v>
      </c>
      <c r="B43">
        <v>0</v>
      </c>
      <c r="C43">
        <v>0</v>
      </c>
      <c r="D43">
        <v>100270623.23999999</v>
      </c>
      <c r="E43">
        <v>0</v>
      </c>
      <c r="F43">
        <v>100270623.23999999</v>
      </c>
      <c r="G43">
        <v>323.19</v>
      </c>
      <c r="J43">
        <v>2021</v>
      </c>
      <c r="K43" s="1">
        <f t="shared" si="0"/>
        <v>10</v>
      </c>
      <c r="L43" s="1">
        <f t="shared" si="1"/>
        <v>12</v>
      </c>
      <c r="M43" s="1">
        <f t="shared" si="2"/>
        <v>13</v>
      </c>
      <c r="N43">
        <v>10</v>
      </c>
    </row>
    <row r="44" spans="1:14" x14ac:dyDescent="0.25">
      <c r="A44">
        <v>2020</v>
      </c>
      <c r="B44">
        <v>3</v>
      </c>
      <c r="C44">
        <v>154.02000000000001</v>
      </c>
      <c r="D44">
        <v>100270623.23999999</v>
      </c>
      <c r="E44">
        <v>3080437.73</v>
      </c>
      <c r="F44">
        <v>103351060.97</v>
      </c>
      <c r="G44">
        <v>333.12</v>
      </c>
      <c r="J44">
        <v>2022</v>
      </c>
      <c r="K44" s="1">
        <f t="shared" si="0"/>
        <v>0</v>
      </c>
      <c r="L44" s="1">
        <f t="shared" si="1"/>
        <v>0</v>
      </c>
      <c r="M44" s="1">
        <f t="shared" si="2"/>
        <v>0</v>
      </c>
      <c r="N44">
        <v>0</v>
      </c>
    </row>
    <row r="45" spans="1:14" x14ac:dyDescent="0.25">
      <c r="A45">
        <v>2021</v>
      </c>
      <c r="B45">
        <v>10</v>
      </c>
      <c r="C45">
        <v>312.94</v>
      </c>
      <c r="D45">
        <v>100270623.23999999</v>
      </c>
      <c r="E45">
        <v>6258812.4000000004</v>
      </c>
      <c r="F45">
        <v>106529435.64</v>
      </c>
      <c r="G45">
        <v>343.37</v>
      </c>
      <c r="J45">
        <v>2023</v>
      </c>
      <c r="K45" s="1">
        <f t="shared" si="0"/>
        <v>4</v>
      </c>
      <c r="L45" s="1">
        <f t="shared" si="1"/>
        <v>3</v>
      </c>
      <c r="M45" s="1">
        <f t="shared" si="2"/>
        <v>3</v>
      </c>
      <c r="N45">
        <v>4</v>
      </c>
    </row>
    <row r="46" spans="1:14" x14ac:dyDescent="0.25">
      <c r="A46">
        <v>2022</v>
      </c>
      <c r="B46">
        <v>0</v>
      </c>
      <c r="C46">
        <v>0</v>
      </c>
      <c r="D46">
        <v>100270623.23999999</v>
      </c>
      <c r="E46">
        <v>0</v>
      </c>
      <c r="F46">
        <v>100270623.23999999</v>
      </c>
      <c r="G46">
        <v>323.19</v>
      </c>
      <c r="J46">
        <v>2024</v>
      </c>
      <c r="K46" s="1">
        <f t="shared" si="0"/>
        <v>23</v>
      </c>
      <c r="L46" s="1">
        <f t="shared" si="1"/>
        <v>17</v>
      </c>
      <c r="M46" s="1">
        <f t="shared" si="2"/>
        <v>17</v>
      </c>
      <c r="N46">
        <v>23</v>
      </c>
    </row>
    <row r="47" spans="1:14" x14ac:dyDescent="0.25">
      <c r="A47">
        <v>2023</v>
      </c>
      <c r="B47">
        <v>4</v>
      </c>
      <c r="C47">
        <v>227.68</v>
      </c>
      <c r="D47">
        <v>100270623.23999999</v>
      </c>
      <c r="E47">
        <v>4553508.04</v>
      </c>
      <c r="F47">
        <v>104824131.28</v>
      </c>
      <c r="G47">
        <v>337.87</v>
      </c>
    </row>
    <row r="48" spans="1:14" x14ac:dyDescent="0.25">
      <c r="A48">
        <v>2024</v>
      </c>
      <c r="B48">
        <v>23</v>
      </c>
      <c r="C48">
        <v>967.42</v>
      </c>
      <c r="D48">
        <v>100270623.23999999</v>
      </c>
      <c r="E48">
        <v>19348487.199999999</v>
      </c>
      <c r="F48">
        <v>119619110.44</v>
      </c>
      <c r="G48">
        <v>385.56</v>
      </c>
    </row>
    <row r="51" spans="1:8" x14ac:dyDescent="0.25">
      <c r="A51" s="2" t="s">
        <v>12</v>
      </c>
      <c r="B51" s="2"/>
      <c r="C51" s="2"/>
      <c r="D51" s="2"/>
      <c r="E51" s="2"/>
      <c r="F51" s="2"/>
      <c r="G51" s="2"/>
    </row>
    <row r="52" spans="1: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>
        <f>SUM(B53:B58)</f>
        <v>40</v>
      </c>
    </row>
    <row r="53" spans="1:8" x14ac:dyDescent="0.25">
      <c r="A53">
        <v>2019</v>
      </c>
      <c r="B53">
        <v>0</v>
      </c>
      <c r="C53">
        <v>0</v>
      </c>
      <c r="D53">
        <v>100685473.25</v>
      </c>
      <c r="E53">
        <v>0</v>
      </c>
      <c r="F53">
        <v>100685473.25</v>
      </c>
      <c r="G53">
        <v>324.52999999999997</v>
      </c>
    </row>
    <row r="54" spans="1:8" x14ac:dyDescent="0.25">
      <c r="A54">
        <v>2020</v>
      </c>
      <c r="B54">
        <v>3</v>
      </c>
      <c r="C54">
        <v>139.63999999999999</v>
      </c>
      <c r="D54">
        <v>100685473.25</v>
      </c>
      <c r="E54">
        <v>2792788.13</v>
      </c>
      <c r="F54">
        <v>103478261.38</v>
      </c>
      <c r="G54">
        <v>333.53</v>
      </c>
    </row>
    <row r="55" spans="1:8" x14ac:dyDescent="0.25">
      <c r="A55">
        <v>2021</v>
      </c>
      <c r="B55">
        <v>10</v>
      </c>
      <c r="C55">
        <v>296.95</v>
      </c>
      <c r="D55">
        <v>100685473.25</v>
      </c>
      <c r="E55">
        <v>5939018.04</v>
      </c>
      <c r="F55">
        <v>106624491.29000001</v>
      </c>
      <c r="G55">
        <v>343.67</v>
      </c>
    </row>
    <row r="56" spans="1:8" x14ac:dyDescent="0.25">
      <c r="A56">
        <v>2022</v>
      </c>
      <c r="B56">
        <v>0</v>
      </c>
      <c r="C56">
        <v>0</v>
      </c>
      <c r="D56">
        <v>100685473.25</v>
      </c>
      <c r="E56">
        <v>0</v>
      </c>
      <c r="F56">
        <v>100685473.25</v>
      </c>
      <c r="G56">
        <v>324.52999999999997</v>
      </c>
    </row>
    <row r="57" spans="1:8" x14ac:dyDescent="0.25">
      <c r="A57">
        <v>2023</v>
      </c>
      <c r="B57">
        <v>4</v>
      </c>
      <c r="C57">
        <v>222.75</v>
      </c>
      <c r="D57">
        <v>100685473.25</v>
      </c>
      <c r="E57">
        <v>4455030.13</v>
      </c>
      <c r="F57">
        <v>105140503.38</v>
      </c>
      <c r="G57">
        <v>338.89</v>
      </c>
    </row>
    <row r="58" spans="1:8" x14ac:dyDescent="0.25">
      <c r="A58">
        <v>2024</v>
      </c>
      <c r="B58">
        <v>23</v>
      </c>
      <c r="C58">
        <v>952.18</v>
      </c>
      <c r="D58">
        <v>100685473.25</v>
      </c>
      <c r="E58">
        <v>19043560.800000001</v>
      </c>
      <c r="F58">
        <v>119729034.05</v>
      </c>
      <c r="G58">
        <v>385.91</v>
      </c>
    </row>
    <row r="72" spans="10:15" x14ac:dyDescent="0.25">
      <c r="K72" t="s">
        <v>40</v>
      </c>
      <c r="L72" t="s">
        <v>39</v>
      </c>
      <c r="M72" t="s">
        <v>21</v>
      </c>
      <c r="N72" t="s">
        <v>16</v>
      </c>
    </row>
    <row r="73" spans="10:15" x14ac:dyDescent="0.25">
      <c r="J73" t="s">
        <v>18</v>
      </c>
      <c r="K73" s="1">
        <f>SUM(K41:K46)</f>
        <v>40</v>
      </c>
      <c r="L73" s="1">
        <f t="shared" ref="L73:N73" si="3">SUM(L41:L46)</f>
        <v>36</v>
      </c>
      <c r="M73" s="1">
        <f t="shared" si="3"/>
        <v>37</v>
      </c>
      <c r="N73" s="1">
        <f t="shared" si="3"/>
        <v>40</v>
      </c>
      <c r="O73" s="1"/>
    </row>
  </sheetData>
  <mergeCells count="6">
    <mergeCell ref="A51:G51"/>
    <mergeCell ref="A1:G1"/>
    <mergeCell ref="A11:G11"/>
    <mergeCell ref="A21:G21"/>
    <mergeCell ref="A32:G32"/>
    <mergeCell ref="A41:G4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2071-49F2-43A2-BAA0-76A985067D12}">
  <dimension ref="A1:P72"/>
  <sheetViews>
    <sheetView topLeftCell="A52" workbookViewId="0">
      <selection activeCell="H73" sqref="H73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12" x14ac:dyDescent="0.25">
      <c r="A1" s="2" t="s">
        <v>7</v>
      </c>
      <c r="B1" s="2"/>
      <c r="C1" s="2"/>
      <c r="D1" s="2"/>
      <c r="E1" s="2"/>
      <c r="F1" s="2"/>
      <c r="G1" s="2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118</v>
      </c>
    </row>
    <row r="3" spans="1:12" x14ac:dyDescent="0.25">
      <c r="A3">
        <v>2019</v>
      </c>
      <c r="B3">
        <v>1</v>
      </c>
      <c r="C3">
        <v>56.88</v>
      </c>
      <c r="D3">
        <v>93919438.819999993</v>
      </c>
      <c r="E3">
        <v>1137588.67</v>
      </c>
      <c r="F3">
        <v>95057027.489999995</v>
      </c>
      <c r="G3">
        <v>306.39</v>
      </c>
    </row>
    <row r="4" spans="1:12" x14ac:dyDescent="0.25">
      <c r="A4">
        <v>2020</v>
      </c>
      <c r="B4">
        <v>23</v>
      </c>
      <c r="C4">
        <v>1206.3699999999999</v>
      </c>
      <c r="D4">
        <v>93919438.819999993</v>
      </c>
      <c r="E4">
        <v>24127410.98</v>
      </c>
      <c r="F4">
        <v>118046849.8</v>
      </c>
      <c r="G4">
        <v>380.49</v>
      </c>
    </row>
    <row r="5" spans="1:12" x14ac:dyDescent="0.25">
      <c r="A5">
        <v>2021</v>
      </c>
      <c r="B5">
        <v>38</v>
      </c>
      <c r="C5">
        <v>2129.16</v>
      </c>
      <c r="D5">
        <v>93919438.819999993</v>
      </c>
      <c r="E5">
        <v>42583238.530000001</v>
      </c>
      <c r="F5">
        <v>136502677.34999999</v>
      </c>
      <c r="G5">
        <v>439.98</v>
      </c>
    </row>
    <row r="6" spans="1:12" x14ac:dyDescent="0.25">
      <c r="A6">
        <v>2022</v>
      </c>
      <c r="B6">
        <v>24</v>
      </c>
      <c r="C6">
        <v>1206.6099999999999</v>
      </c>
      <c r="D6">
        <v>93919438.819999993</v>
      </c>
      <c r="E6">
        <v>24132232.27</v>
      </c>
      <c r="F6">
        <v>118051671.09</v>
      </c>
      <c r="G6">
        <v>380.5</v>
      </c>
    </row>
    <row r="7" spans="1:12" x14ac:dyDescent="0.25">
      <c r="A7">
        <v>2023</v>
      </c>
      <c r="B7">
        <v>13</v>
      </c>
      <c r="C7">
        <v>597.80999999999995</v>
      </c>
      <c r="D7">
        <v>93919438.819999993</v>
      </c>
      <c r="E7">
        <v>11956178.619999999</v>
      </c>
      <c r="F7">
        <v>105875617.44</v>
      </c>
      <c r="G7">
        <v>341.26</v>
      </c>
    </row>
    <row r="8" spans="1:12" x14ac:dyDescent="0.25">
      <c r="A8">
        <v>2024</v>
      </c>
      <c r="B8">
        <v>19</v>
      </c>
      <c r="C8">
        <v>819.77</v>
      </c>
      <c r="D8">
        <v>93919438.819999993</v>
      </c>
      <c r="E8">
        <v>16395432.4</v>
      </c>
      <c r="F8">
        <v>110314871.22</v>
      </c>
      <c r="G8">
        <v>355.57</v>
      </c>
      <c r="L8" t="s">
        <v>43</v>
      </c>
    </row>
    <row r="10" spans="1:12" x14ac:dyDescent="0.25">
      <c r="A10" s="2" t="s">
        <v>8</v>
      </c>
      <c r="B10" s="2"/>
      <c r="C10" s="2"/>
      <c r="D10" s="2"/>
      <c r="E10" s="2"/>
      <c r="F10" s="2"/>
      <c r="G10" s="2"/>
    </row>
    <row r="11" spans="1:12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>
        <f>SUM(B12:B17)</f>
        <v>102</v>
      </c>
    </row>
    <row r="12" spans="1:12" x14ac:dyDescent="0.25">
      <c r="A12">
        <v>2019</v>
      </c>
      <c r="B12">
        <v>1</v>
      </c>
      <c r="C12">
        <v>31.22</v>
      </c>
      <c r="D12">
        <v>97961693.109999999</v>
      </c>
      <c r="E12">
        <v>624393.6</v>
      </c>
      <c r="F12">
        <v>98586086.709999993</v>
      </c>
      <c r="G12">
        <v>317.76</v>
      </c>
    </row>
    <row r="13" spans="1:12" x14ac:dyDescent="0.25">
      <c r="A13">
        <v>2020</v>
      </c>
      <c r="B13">
        <v>20</v>
      </c>
      <c r="C13">
        <v>938.46</v>
      </c>
      <c r="D13">
        <v>97961693.109999999</v>
      </c>
      <c r="E13">
        <v>18769153.07</v>
      </c>
      <c r="F13">
        <v>116730846.17</v>
      </c>
      <c r="G13">
        <v>376.25</v>
      </c>
    </row>
    <row r="14" spans="1:12" x14ac:dyDescent="0.25">
      <c r="A14">
        <v>2021</v>
      </c>
      <c r="B14">
        <v>35</v>
      </c>
      <c r="C14">
        <v>1921.04</v>
      </c>
      <c r="D14">
        <v>97961693.109999999</v>
      </c>
      <c r="E14">
        <v>38420832.890000001</v>
      </c>
      <c r="F14">
        <v>136382526</v>
      </c>
      <c r="G14">
        <v>439.59</v>
      </c>
    </row>
    <row r="15" spans="1:12" x14ac:dyDescent="0.25">
      <c r="A15">
        <v>2022</v>
      </c>
      <c r="B15">
        <v>22</v>
      </c>
      <c r="C15">
        <v>1137.55</v>
      </c>
      <c r="D15">
        <v>97961693.109999999</v>
      </c>
      <c r="E15">
        <v>22751020.620000001</v>
      </c>
      <c r="F15">
        <v>120712713.73</v>
      </c>
      <c r="G15">
        <v>389.08</v>
      </c>
    </row>
    <row r="16" spans="1:12" x14ac:dyDescent="0.25">
      <c r="A16">
        <v>2023</v>
      </c>
      <c r="B16">
        <v>10</v>
      </c>
      <c r="C16">
        <v>493.17</v>
      </c>
      <c r="D16">
        <v>97961693.109999999</v>
      </c>
      <c r="E16">
        <v>9863321.3300000001</v>
      </c>
      <c r="F16">
        <v>107825014.44</v>
      </c>
      <c r="G16">
        <v>347.54</v>
      </c>
    </row>
    <row r="17" spans="1:8" x14ac:dyDescent="0.25">
      <c r="A17">
        <v>2024</v>
      </c>
      <c r="B17">
        <v>14</v>
      </c>
      <c r="C17">
        <v>572.12</v>
      </c>
      <c r="D17">
        <v>97961693.109999999</v>
      </c>
      <c r="E17">
        <v>11442389.960000001</v>
      </c>
      <c r="F17">
        <v>109404083.06</v>
      </c>
      <c r="G17">
        <v>352.63</v>
      </c>
    </row>
    <row r="20" spans="1:8" x14ac:dyDescent="0.25">
      <c r="A20" s="2" t="s">
        <v>9</v>
      </c>
      <c r="B20" s="2"/>
      <c r="C20" s="2"/>
      <c r="D20" s="2"/>
      <c r="E20" s="2"/>
      <c r="F20" s="2"/>
      <c r="G20" s="2"/>
    </row>
    <row r="21" spans="1: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>
        <f>SUM(B22:B27)</f>
        <v>104</v>
      </c>
    </row>
    <row r="22" spans="1:8" x14ac:dyDescent="0.25">
      <c r="A22">
        <v>2019</v>
      </c>
      <c r="B22">
        <v>1</v>
      </c>
      <c r="C22">
        <v>39.51</v>
      </c>
      <c r="D22">
        <v>97242519.150000006</v>
      </c>
      <c r="E22">
        <v>790105.78</v>
      </c>
      <c r="F22">
        <v>98032624.930000007</v>
      </c>
      <c r="G22">
        <v>315.98</v>
      </c>
    </row>
    <row r="23" spans="1:8" x14ac:dyDescent="0.25">
      <c r="A23">
        <v>2020</v>
      </c>
      <c r="B23">
        <v>20</v>
      </c>
      <c r="C23">
        <v>959.62</v>
      </c>
      <c r="D23">
        <v>97242519.150000006</v>
      </c>
      <c r="E23">
        <v>19192454.760000002</v>
      </c>
      <c r="F23">
        <v>116434973.91</v>
      </c>
      <c r="G23">
        <v>375.29</v>
      </c>
    </row>
    <row r="24" spans="1:8" x14ac:dyDescent="0.25">
      <c r="A24">
        <v>2021</v>
      </c>
      <c r="B24">
        <v>36</v>
      </c>
      <c r="C24">
        <v>1947.9</v>
      </c>
      <c r="D24">
        <v>97242519.150000006</v>
      </c>
      <c r="E24">
        <v>38957976.890000001</v>
      </c>
      <c r="F24">
        <v>136200496.03999999</v>
      </c>
      <c r="G24">
        <v>439</v>
      </c>
    </row>
    <row r="25" spans="1:8" x14ac:dyDescent="0.25">
      <c r="A25">
        <v>2022</v>
      </c>
      <c r="B25">
        <v>21</v>
      </c>
      <c r="C25">
        <v>1152</v>
      </c>
      <c r="D25">
        <v>97242519.150000006</v>
      </c>
      <c r="E25">
        <v>23039996.530000001</v>
      </c>
      <c r="F25">
        <v>120282515.69</v>
      </c>
      <c r="G25">
        <v>387.7</v>
      </c>
    </row>
    <row r="26" spans="1:8" x14ac:dyDescent="0.25">
      <c r="A26">
        <v>2023</v>
      </c>
      <c r="B26">
        <v>11</v>
      </c>
      <c r="C26">
        <v>514.05999999999995</v>
      </c>
      <c r="D26">
        <v>97242519.150000006</v>
      </c>
      <c r="E26">
        <v>10281246.039999999</v>
      </c>
      <c r="F26">
        <v>107523765.2</v>
      </c>
      <c r="G26">
        <v>346.57</v>
      </c>
    </row>
    <row r="27" spans="1:8" x14ac:dyDescent="0.25">
      <c r="A27">
        <v>2024</v>
      </c>
      <c r="B27">
        <v>15</v>
      </c>
      <c r="C27">
        <v>616.03</v>
      </c>
      <c r="D27">
        <v>97242519.150000006</v>
      </c>
      <c r="E27">
        <v>12320691.289999999</v>
      </c>
      <c r="F27">
        <v>109563210.44</v>
      </c>
      <c r="G27">
        <v>353.14</v>
      </c>
    </row>
    <row r="31" spans="1:8" x14ac:dyDescent="0.25">
      <c r="A31" s="2" t="s">
        <v>10</v>
      </c>
      <c r="B31" s="2"/>
      <c r="C31" s="2"/>
      <c r="D31" s="2"/>
      <c r="E31" s="2"/>
      <c r="F31" s="2"/>
      <c r="G31" s="2"/>
    </row>
    <row r="32" spans="1: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>
        <f>SUM(B33:B38)</f>
        <v>102</v>
      </c>
    </row>
    <row r="33" spans="1:14" x14ac:dyDescent="0.25">
      <c r="A33">
        <v>2019</v>
      </c>
      <c r="B33">
        <v>1</v>
      </c>
      <c r="C33">
        <v>31.22</v>
      </c>
      <c r="D33">
        <v>97961693.109999999</v>
      </c>
      <c r="E33">
        <v>624393.6</v>
      </c>
      <c r="F33">
        <v>98586086.709999993</v>
      </c>
      <c r="G33">
        <v>317.76</v>
      </c>
    </row>
    <row r="34" spans="1:14" x14ac:dyDescent="0.25">
      <c r="A34">
        <v>2020</v>
      </c>
      <c r="B34">
        <v>20</v>
      </c>
      <c r="C34">
        <v>938.46</v>
      </c>
      <c r="D34">
        <v>97961693.109999999</v>
      </c>
      <c r="E34">
        <v>18769153.07</v>
      </c>
      <c r="F34">
        <v>116730846.17</v>
      </c>
      <c r="G34">
        <v>376.25</v>
      </c>
    </row>
    <row r="35" spans="1:14" x14ac:dyDescent="0.25">
      <c r="A35">
        <v>2021</v>
      </c>
      <c r="B35">
        <v>35</v>
      </c>
      <c r="C35">
        <v>1921.04</v>
      </c>
      <c r="D35">
        <v>97961693.109999999</v>
      </c>
      <c r="E35">
        <v>38420832.890000001</v>
      </c>
      <c r="F35">
        <v>136382526</v>
      </c>
      <c r="G35">
        <v>439.59</v>
      </c>
    </row>
    <row r="36" spans="1:14" x14ac:dyDescent="0.25">
      <c r="A36">
        <v>2022</v>
      </c>
      <c r="B36">
        <v>22</v>
      </c>
      <c r="C36">
        <v>1137.55</v>
      </c>
      <c r="D36">
        <v>97961693.109999999</v>
      </c>
      <c r="E36">
        <v>22751020.620000001</v>
      </c>
      <c r="F36">
        <v>120712713.73</v>
      </c>
      <c r="G36">
        <v>389.08</v>
      </c>
    </row>
    <row r="37" spans="1:14" x14ac:dyDescent="0.25">
      <c r="A37">
        <v>2023</v>
      </c>
      <c r="B37">
        <v>10</v>
      </c>
      <c r="C37">
        <v>493.17</v>
      </c>
      <c r="D37">
        <v>97961693.109999999</v>
      </c>
      <c r="E37">
        <v>9863321.3300000001</v>
      </c>
      <c r="F37">
        <v>107825014.44</v>
      </c>
      <c r="G37">
        <v>347.54</v>
      </c>
    </row>
    <row r="38" spans="1:14" x14ac:dyDescent="0.25">
      <c r="A38">
        <v>2024</v>
      </c>
      <c r="B38">
        <v>14</v>
      </c>
      <c r="C38">
        <v>572.12</v>
      </c>
      <c r="D38">
        <v>97961693.109999999</v>
      </c>
      <c r="E38">
        <v>11442389.960000001</v>
      </c>
      <c r="F38">
        <v>109404083.06</v>
      </c>
      <c r="G38">
        <v>352.63</v>
      </c>
    </row>
    <row r="39" spans="1:14" x14ac:dyDescent="0.25">
      <c r="K39" t="s">
        <v>35</v>
      </c>
      <c r="L39" t="s">
        <v>39</v>
      </c>
      <c r="M39" t="s">
        <v>21</v>
      </c>
      <c r="N39" t="s">
        <v>26</v>
      </c>
    </row>
    <row r="40" spans="1:14" x14ac:dyDescent="0.25">
      <c r="A40" s="2" t="s">
        <v>11</v>
      </c>
      <c r="B40" s="2"/>
      <c r="C40" s="2"/>
      <c r="D40" s="2"/>
      <c r="E40" s="2"/>
      <c r="F40" s="2"/>
      <c r="G40" s="2"/>
      <c r="J40">
        <v>2019</v>
      </c>
      <c r="K40" s="1">
        <f>B3</f>
        <v>1</v>
      </c>
      <c r="L40" s="1">
        <f>B12</f>
        <v>1</v>
      </c>
      <c r="M40" s="1">
        <f>B22</f>
        <v>1</v>
      </c>
      <c r="N40">
        <f>B52</f>
        <v>0</v>
      </c>
    </row>
    <row r="41" spans="1:14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>
        <f>SUM(B42:B47)</f>
        <v>118</v>
      </c>
      <c r="J41">
        <v>2020</v>
      </c>
      <c r="K41" s="1">
        <f t="shared" ref="K41:K45" si="0">B4</f>
        <v>23</v>
      </c>
      <c r="L41" s="1">
        <f t="shared" ref="L41:L45" si="1">B13</f>
        <v>20</v>
      </c>
      <c r="M41" s="1">
        <f t="shared" ref="M41:M45" si="2">B23</f>
        <v>20</v>
      </c>
      <c r="N41">
        <f>B53</f>
        <v>21</v>
      </c>
    </row>
    <row r="42" spans="1:14" x14ac:dyDescent="0.25">
      <c r="A42">
        <v>2019</v>
      </c>
      <c r="B42">
        <v>1</v>
      </c>
      <c r="C42">
        <v>56.88</v>
      </c>
      <c r="D42">
        <v>93919438.819999993</v>
      </c>
      <c r="E42">
        <v>1137588.67</v>
      </c>
      <c r="F42">
        <v>95057027.489999995</v>
      </c>
      <c r="G42">
        <v>306.39</v>
      </c>
      <c r="J42">
        <v>2021</v>
      </c>
      <c r="K42" s="1">
        <f t="shared" si="0"/>
        <v>38</v>
      </c>
      <c r="L42" s="1">
        <f t="shared" si="1"/>
        <v>35</v>
      </c>
      <c r="M42" s="1">
        <f t="shared" si="2"/>
        <v>36</v>
      </c>
      <c r="N42">
        <f>B54</f>
        <v>34</v>
      </c>
    </row>
    <row r="43" spans="1:14" x14ac:dyDescent="0.25">
      <c r="A43">
        <v>2020</v>
      </c>
      <c r="B43">
        <v>23</v>
      </c>
      <c r="C43">
        <v>1206.3699999999999</v>
      </c>
      <c r="D43">
        <v>93919438.819999993</v>
      </c>
      <c r="E43">
        <v>24127410.98</v>
      </c>
      <c r="F43">
        <v>118046849.8</v>
      </c>
      <c r="G43">
        <v>380.49</v>
      </c>
      <c r="J43">
        <v>2022</v>
      </c>
      <c r="K43" s="1">
        <f t="shared" si="0"/>
        <v>24</v>
      </c>
      <c r="L43" s="1">
        <f t="shared" si="1"/>
        <v>22</v>
      </c>
      <c r="M43" s="1">
        <f t="shared" si="2"/>
        <v>21</v>
      </c>
      <c r="N43">
        <f>B55</f>
        <v>22</v>
      </c>
    </row>
    <row r="44" spans="1:14" x14ac:dyDescent="0.25">
      <c r="A44">
        <v>2021</v>
      </c>
      <c r="B44">
        <v>38</v>
      </c>
      <c r="C44">
        <v>2129.16</v>
      </c>
      <c r="D44">
        <v>93919438.819999993</v>
      </c>
      <c r="E44">
        <v>42583238.530000001</v>
      </c>
      <c r="F44">
        <v>136502677.34999999</v>
      </c>
      <c r="G44">
        <v>439.98</v>
      </c>
      <c r="J44">
        <v>2023</v>
      </c>
      <c r="K44" s="1">
        <f t="shared" si="0"/>
        <v>13</v>
      </c>
      <c r="L44" s="1">
        <f t="shared" si="1"/>
        <v>10</v>
      </c>
      <c r="M44" s="1">
        <f t="shared" si="2"/>
        <v>11</v>
      </c>
      <c r="N44">
        <f>B56</f>
        <v>12</v>
      </c>
    </row>
    <row r="45" spans="1:14" x14ac:dyDescent="0.25">
      <c r="A45">
        <v>2022</v>
      </c>
      <c r="B45">
        <v>24</v>
      </c>
      <c r="C45">
        <v>1206.6099999999999</v>
      </c>
      <c r="D45">
        <v>93919438.819999993</v>
      </c>
      <c r="E45">
        <v>24132232.27</v>
      </c>
      <c r="F45">
        <v>118051671.09</v>
      </c>
      <c r="G45">
        <v>380.5</v>
      </c>
      <c r="J45">
        <v>2024</v>
      </c>
      <c r="K45" s="1">
        <f t="shared" si="0"/>
        <v>19</v>
      </c>
      <c r="L45" s="1">
        <f t="shared" si="1"/>
        <v>14</v>
      </c>
      <c r="M45" s="1">
        <f t="shared" si="2"/>
        <v>15</v>
      </c>
      <c r="N45">
        <f>B57</f>
        <v>14</v>
      </c>
    </row>
    <row r="46" spans="1:14" x14ac:dyDescent="0.25">
      <c r="A46">
        <v>2023</v>
      </c>
      <c r="B46">
        <v>13</v>
      </c>
      <c r="C46">
        <v>597.80999999999995</v>
      </c>
      <c r="D46">
        <v>93919438.819999993</v>
      </c>
      <c r="E46">
        <v>11956178.619999999</v>
      </c>
      <c r="F46">
        <v>105875617.44</v>
      </c>
      <c r="G46">
        <v>341.26</v>
      </c>
    </row>
    <row r="47" spans="1:14" x14ac:dyDescent="0.25">
      <c r="A47">
        <v>2024</v>
      </c>
      <c r="B47">
        <v>19</v>
      </c>
      <c r="C47">
        <v>819.77</v>
      </c>
      <c r="D47">
        <v>93919438.819999993</v>
      </c>
      <c r="E47">
        <v>16395432.4</v>
      </c>
      <c r="F47">
        <v>110314871.22</v>
      </c>
      <c r="G47">
        <v>355.57</v>
      </c>
    </row>
    <row r="50" spans="1:8" x14ac:dyDescent="0.25">
      <c r="A50" s="2" t="s">
        <v>12</v>
      </c>
      <c r="B50" s="2"/>
      <c r="C50" s="2"/>
      <c r="D50" s="2"/>
      <c r="E50" s="2"/>
      <c r="F50" s="2"/>
      <c r="G50" s="2"/>
    </row>
    <row r="51" spans="1: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>
        <f>SUM(B52:B57)</f>
        <v>103</v>
      </c>
    </row>
    <row r="52" spans="1:8" x14ac:dyDescent="0.25">
      <c r="A52">
        <v>2019</v>
      </c>
      <c r="B52">
        <v>0</v>
      </c>
      <c r="C52">
        <v>0</v>
      </c>
      <c r="D52">
        <v>97461009.739999995</v>
      </c>
      <c r="E52">
        <v>0</v>
      </c>
      <c r="F52">
        <v>97461009.739999995</v>
      </c>
      <c r="G52">
        <v>314.14</v>
      </c>
    </row>
    <row r="53" spans="1:8" x14ac:dyDescent="0.25">
      <c r="A53">
        <v>2020</v>
      </c>
      <c r="B53">
        <v>21</v>
      </c>
      <c r="C53">
        <v>942.27</v>
      </c>
      <c r="D53">
        <v>97461009.739999995</v>
      </c>
      <c r="E53">
        <v>18845421.199999999</v>
      </c>
      <c r="F53">
        <v>116306430.94</v>
      </c>
      <c r="G53">
        <v>374.88</v>
      </c>
    </row>
    <row r="54" spans="1:8" x14ac:dyDescent="0.25">
      <c r="A54">
        <v>2021</v>
      </c>
      <c r="B54">
        <v>34</v>
      </c>
      <c r="C54">
        <v>1930.33</v>
      </c>
      <c r="D54">
        <v>97461009.739999995</v>
      </c>
      <c r="E54">
        <v>38606530</v>
      </c>
      <c r="F54">
        <v>136067539.74000001</v>
      </c>
      <c r="G54">
        <v>438.57</v>
      </c>
    </row>
    <row r="55" spans="1:8" x14ac:dyDescent="0.25">
      <c r="A55">
        <v>2022</v>
      </c>
      <c r="B55">
        <v>22</v>
      </c>
      <c r="C55">
        <v>1132.56</v>
      </c>
      <c r="D55">
        <v>97461009.739999995</v>
      </c>
      <c r="E55">
        <v>22651256.98</v>
      </c>
      <c r="F55">
        <v>120112266.72</v>
      </c>
      <c r="G55">
        <v>387.15</v>
      </c>
    </row>
    <row r="56" spans="1:8" x14ac:dyDescent="0.25">
      <c r="A56">
        <v>2023</v>
      </c>
      <c r="B56">
        <v>12</v>
      </c>
      <c r="C56">
        <v>465.96</v>
      </c>
      <c r="D56">
        <v>97461009.739999995</v>
      </c>
      <c r="E56">
        <v>9319292.9800000004</v>
      </c>
      <c r="F56">
        <v>106780302.72</v>
      </c>
      <c r="G56">
        <v>344.18</v>
      </c>
    </row>
    <row r="57" spans="1:8" x14ac:dyDescent="0.25">
      <c r="A57">
        <v>2024</v>
      </c>
      <c r="B57">
        <v>14</v>
      </c>
      <c r="C57">
        <v>615.29999999999995</v>
      </c>
      <c r="D57">
        <v>97461009.739999995</v>
      </c>
      <c r="E57">
        <v>12305955.380000001</v>
      </c>
      <c r="F57">
        <v>109766965.12</v>
      </c>
      <c r="G57">
        <v>353.8</v>
      </c>
    </row>
    <row r="71" spans="10:16" x14ac:dyDescent="0.25">
      <c r="K71" t="s">
        <v>35</v>
      </c>
      <c r="L71" t="s">
        <v>39</v>
      </c>
      <c r="M71" t="s">
        <v>21</v>
      </c>
      <c r="N71" t="s">
        <v>26</v>
      </c>
      <c r="O71" t="s">
        <v>16</v>
      </c>
      <c r="P71" t="s">
        <v>26</v>
      </c>
    </row>
    <row r="72" spans="10:16" x14ac:dyDescent="0.25">
      <c r="J72" t="s">
        <v>18</v>
      </c>
      <c r="K72" s="1">
        <f t="shared" ref="K72:O72" si="3">SUM(K40:K45)</f>
        <v>118</v>
      </c>
      <c r="L72" s="1">
        <f t="shared" si="3"/>
        <v>102</v>
      </c>
      <c r="M72" s="1">
        <f t="shared" si="3"/>
        <v>104</v>
      </c>
      <c r="N72" s="1">
        <f>SUM(N40:N45)</f>
        <v>103</v>
      </c>
      <c r="O72" s="1">
        <f t="shared" si="3"/>
        <v>0</v>
      </c>
      <c r="P72" s="1">
        <f>SUM(N40:N45)</f>
        <v>103</v>
      </c>
    </row>
  </sheetData>
  <mergeCells count="6">
    <mergeCell ref="A1:G1"/>
    <mergeCell ref="A10:G10"/>
    <mergeCell ref="A20:G20"/>
    <mergeCell ref="A31:G31"/>
    <mergeCell ref="A40:G40"/>
    <mergeCell ref="A50:G5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070C-3BC6-412C-A5A4-CEFCD14372AF}">
  <dimension ref="A1:P72"/>
  <sheetViews>
    <sheetView topLeftCell="C58" workbookViewId="0">
      <selection activeCell="G79" sqref="G79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9" bestFit="1" customWidth="1"/>
    <col min="12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SUM(B3:B7)</f>
        <v>52</v>
      </c>
    </row>
    <row r="3" spans="1:8" x14ac:dyDescent="0.25">
      <c r="A3">
        <v>2019</v>
      </c>
      <c r="B3">
        <v>0</v>
      </c>
      <c r="C3">
        <v>0</v>
      </c>
      <c r="D3">
        <v>103311664.88</v>
      </c>
      <c r="E3">
        <v>0</v>
      </c>
      <c r="F3">
        <v>103311664.88</v>
      </c>
      <c r="G3">
        <v>332.99</v>
      </c>
    </row>
    <row r="4" spans="1:8" x14ac:dyDescent="0.25">
      <c r="A4">
        <v>2020</v>
      </c>
      <c r="B4">
        <v>11</v>
      </c>
      <c r="C4">
        <v>615.98</v>
      </c>
      <c r="D4">
        <v>103311664.88</v>
      </c>
      <c r="E4">
        <v>12319530.18</v>
      </c>
      <c r="F4">
        <v>115631195.05</v>
      </c>
      <c r="G4">
        <v>372.7</v>
      </c>
    </row>
    <row r="5" spans="1:8" x14ac:dyDescent="0.25">
      <c r="A5">
        <v>2021</v>
      </c>
      <c r="B5">
        <v>22</v>
      </c>
      <c r="C5">
        <v>1080.0999999999999</v>
      </c>
      <c r="D5">
        <v>103311664.88</v>
      </c>
      <c r="E5">
        <v>21601945.510000002</v>
      </c>
      <c r="F5">
        <v>124913610.39</v>
      </c>
      <c r="G5">
        <v>402.62</v>
      </c>
    </row>
    <row r="6" spans="1:8" x14ac:dyDescent="0.25">
      <c r="A6">
        <v>2022</v>
      </c>
      <c r="B6">
        <v>6</v>
      </c>
      <c r="C6">
        <v>354.35</v>
      </c>
      <c r="D6">
        <v>103311664.88</v>
      </c>
      <c r="E6">
        <v>7087084.7999999998</v>
      </c>
      <c r="F6">
        <v>110398749.68000001</v>
      </c>
      <c r="G6">
        <v>355.84</v>
      </c>
    </row>
    <row r="7" spans="1:8" x14ac:dyDescent="0.25">
      <c r="A7">
        <v>2023</v>
      </c>
      <c r="B7">
        <v>13</v>
      </c>
      <c r="C7">
        <v>467.27</v>
      </c>
      <c r="D7">
        <v>103311664.88</v>
      </c>
      <c r="E7">
        <v>9345330.0399999991</v>
      </c>
      <c r="F7">
        <v>112656994.92</v>
      </c>
      <c r="G7">
        <v>363.12</v>
      </c>
    </row>
    <row r="8" spans="1:8" x14ac:dyDescent="0.25">
      <c r="A8">
        <v>2024</v>
      </c>
      <c r="B8">
        <v>0</v>
      </c>
      <c r="C8">
        <v>0</v>
      </c>
      <c r="D8">
        <v>103311664.88</v>
      </c>
      <c r="E8">
        <v>0</v>
      </c>
      <c r="F8">
        <v>103311664.88</v>
      </c>
      <c r="G8">
        <v>332.99</v>
      </c>
    </row>
    <row r="10" spans="1:8" x14ac:dyDescent="0.25">
      <c r="A10" s="2" t="s">
        <v>8</v>
      </c>
      <c r="B10" s="2"/>
      <c r="C10" s="2"/>
      <c r="D10" s="2"/>
      <c r="E10" s="2"/>
      <c r="F10" s="2"/>
      <c r="G10" s="2"/>
    </row>
    <row r="11" spans="1: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>
        <f>SUM(B12:B17)</f>
        <v>65</v>
      </c>
    </row>
    <row r="12" spans="1:8" x14ac:dyDescent="0.25">
      <c r="A12">
        <v>2019</v>
      </c>
      <c r="B12">
        <v>1</v>
      </c>
      <c r="C12">
        <v>46.86</v>
      </c>
      <c r="D12">
        <v>102246981.31</v>
      </c>
      <c r="E12">
        <v>937262.62</v>
      </c>
      <c r="F12">
        <v>103184243.93000001</v>
      </c>
      <c r="G12">
        <v>332.58</v>
      </c>
    </row>
    <row r="13" spans="1:8" x14ac:dyDescent="0.25">
      <c r="A13">
        <v>2020</v>
      </c>
      <c r="B13">
        <v>14</v>
      </c>
      <c r="C13">
        <v>771.37</v>
      </c>
      <c r="D13">
        <v>102246981.31</v>
      </c>
      <c r="E13">
        <v>15427347.779999999</v>
      </c>
      <c r="F13">
        <v>117674329.09</v>
      </c>
      <c r="G13">
        <v>379.29</v>
      </c>
    </row>
    <row r="14" spans="1:8" x14ac:dyDescent="0.25">
      <c r="A14">
        <v>2021</v>
      </c>
      <c r="B14">
        <v>22</v>
      </c>
      <c r="C14">
        <v>1087.19</v>
      </c>
      <c r="D14">
        <v>102246981.31</v>
      </c>
      <c r="E14">
        <v>21743713.91</v>
      </c>
      <c r="F14">
        <v>123990695.22</v>
      </c>
      <c r="G14">
        <v>399.65</v>
      </c>
    </row>
    <row r="15" spans="1:8" x14ac:dyDescent="0.25">
      <c r="A15">
        <v>2022</v>
      </c>
      <c r="B15">
        <v>4</v>
      </c>
      <c r="C15">
        <v>224.6</v>
      </c>
      <c r="D15">
        <v>102246981.31</v>
      </c>
      <c r="E15">
        <v>4492043.91</v>
      </c>
      <c r="F15">
        <v>106739025.22</v>
      </c>
      <c r="G15">
        <v>344.04</v>
      </c>
    </row>
    <row r="16" spans="1:8" x14ac:dyDescent="0.25">
      <c r="A16">
        <v>2023</v>
      </c>
      <c r="B16">
        <v>17</v>
      </c>
      <c r="C16">
        <v>640.12</v>
      </c>
      <c r="D16">
        <v>102246981.31</v>
      </c>
      <c r="E16">
        <v>12802471.109999999</v>
      </c>
      <c r="F16">
        <v>115049452.42</v>
      </c>
      <c r="G16">
        <v>370.83</v>
      </c>
    </row>
    <row r="17" spans="1:8" x14ac:dyDescent="0.25">
      <c r="A17">
        <v>2024</v>
      </c>
      <c r="B17">
        <v>7</v>
      </c>
      <c r="C17">
        <v>238.51</v>
      </c>
      <c r="D17">
        <v>102246981.31</v>
      </c>
      <c r="E17">
        <v>4770244.9800000004</v>
      </c>
      <c r="F17">
        <v>107017226.29000001</v>
      </c>
      <c r="G17">
        <v>344.94</v>
      </c>
    </row>
    <row r="20" spans="1:8" x14ac:dyDescent="0.25">
      <c r="A20" s="2" t="s">
        <v>9</v>
      </c>
      <c r="B20" s="2"/>
      <c r="C20" s="2"/>
      <c r="D20" s="2"/>
      <c r="E20" s="2"/>
      <c r="F20" s="2"/>
      <c r="G20" s="2"/>
    </row>
    <row r="21" spans="1: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>
        <f>SUM(B22:B27)</f>
        <v>48</v>
      </c>
    </row>
    <row r="22" spans="1:8" x14ac:dyDescent="0.25">
      <c r="A22">
        <v>2019</v>
      </c>
      <c r="B22">
        <v>2</v>
      </c>
      <c r="C22">
        <v>4.32</v>
      </c>
      <c r="D22">
        <v>103999103.36</v>
      </c>
      <c r="E22">
        <v>86322.84</v>
      </c>
      <c r="F22">
        <v>104085426.2</v>
      </c>
      <c r="G22">
        <v>335.49</v>
      </c>
    </row>
    <row r="23" spans="1:8" x14ac:dyDescent="0.25">
      <c r="A23">
        <v>2020</v>
      </c>
      <c r="B23">
        <v>8</v>
      </c>
      <c r="C23">
        <v>492.49</v>
      </c>
      <c r="D23">
        <v>103999103.36</v>
      </c>
      <c r="E23">
        <v>9849763.5999999996</v>
      </c>
      <c r="F23">
        <v>113848866.95999999</v>
      </c>
      <c r="G23">
        <v>366.96</v>
      </c>
    </row>
    <row r="24" spans="1:8" x14ac:dyDescent="0.25">
      <c r="A24">
        <v>2021</v>
      </c>
      <c r="B24">
        <v>21</v>
      </c>
      <c r="C24">
        <v>1008.5</v>
      </c>
      <c r="D24">
        <v>103999103.36</v>
      </c>
      <c r="E24">
        <v>20169953.420000002</v>
      </c>
      <c r="F24">
        <v>124169056.78</v>
      </c>
      <c r="G24">
        <v>400.22</v>
      </c>
    </row>
    <row r="25" spans="1:8" x14ac:dyDescent="0.25">
      <c r="A25">
        <v>2022</v>
      </c>
      <c r="B25">
        <v>5</v>
      </c>
      <c r="C25">
        <v>289.2</v>
      </c>
      <c r="D25">
        <v>103999103.36</v>
      </c>
      <c r="E25">
        <v>5784044.7999999998</v>
      </c>
      <c r="F25">
        <v>109783148.16</v>
      </c>
      <c r="G25">
        <v>353.85</v>
      </c>
    </row>
    <row r="26" spans="1:8" x14ac:dyDescent="0.25">
      <c r="A26">
        <v>2023</v>
      </c>
      <c r="B26">
        <v>11</v>
      </c>
      <c r="C26">
        <v>402.49</v>
      </c>
      <c r="D26">
        <v>103999103.36</v>
      </c>
      <c r="E26">
        <v>8049712.2699999996</v>
      </c>
      <c r="F26">
        <v>112048815.62</v>
      </c>
      <c r="G26">
        <v>361.16</v>
      </c>
    </row>
    <row r="27" spans="1:8" x14ac:dyDescent="0.25">
      <c r="A27">
        <v>2024</v>
      </c>
      <c r="B27">
        <v>1</v>
      </c>
      <c r="C27">
        <v>21.34</v>
      </c>
      <c r="D27">
        <v>103999103.36</v>
      </c>
      <c r="E27">
        <v>426827.6</v>
      </c>
      <c r="F27">
        <v>104425930.95999999</v>
      </c>
      <c r="G27">
        <v>336.59</v>
      </c>
    </row>
    <row r="31" spans="1:8" x14ac:dyDescent="0.25">
      <c r="A31" s="2" t="s">
        <v>10</v>
      </c>
      <c r="B31" s="2"/>
      <c r="C31" s="2"/>
      <c r="D31" s="2"/>
      <c r="E31" s="2"/>
      <c r="F31" s="2"/>
      <c r="G31" s="2"/>
    </row>
    <row r="32" spans="1: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>
        <f>SUM(B33:B38)</f>
        <v>55</v>
      </c>
    </row>
    <row r="33" spans="1:16" x14ac:dyDescent="0.25">
      <c r="A33">
        <v>2019</v>
      </c>
      <c r="B33">
        <v>1</v>
      </c>
      <c r="C33">
        <v>36.75</v>
      </c>
      <c r="D33">
        <v>104482326.89</v>
      </c>
      <c r="E33">
        <v>734949.78</v>
      </c>
      <c r="F33">
        <v>105217276.67</v>
      </c>
      <c r="G33">
        <v>339.14</v>
      </c>
    </row>
    <row r="34" spans="1:16" x14ac:dyDescent="0.25">
      <c r="A34">
        <v>2020</v>
      </c>
      <c r="B34">
        <v>11</v>
      </c>
      <c r="C34">
        <v>637.5</v>
      </c>
      <c r="D34">
        <v>104482326.89</v>
      </c>
      <c r="E34">
        <v>12750076.18</v>
      </c>
      <c r="F34">
        <v>117232403.06999999</v>
      </c>
      <c r="G34">
        <v>377.86</v>
      </c>
    </row>
    <row r="35" spans="1:16" x14ac:dyDescent="0.25">
      <c r="A35">
        <v>2021</v>
      </c>
      <c r="B35">
        <v>21</v>
      </c>
      <c r="C35">
        <v>975.98</v>
      </c>
      <c r="D35">
        <v>104482326.89</v>
      </c>
      <c r="E35">
        <v>19519533.239999998</v>
      </c>
      <c r="F35">
        <v>124001860.13</v>
      </c>
      <c r="G35">
        <v>399.68</v>
      </c>
    </row>
    <row r="36" spans="1:16" x14ac:dyDescent="0.25">
      <c r="A36">
        <v>2022</v>
      </c>
      <c r="B36">
        <v>4</v>
      </c>
      <c r="C36">
        <v>197.95</v>
      </c>
      <c r="D36">
        <v>104482326.89</v>
      </c>
      <c r="E36">
        <v>3958953.69</v>
      </c>
      <c r="F36">
        <v>108441280.58</v>
      </c>
      <c r="G36">
        <v>349.53</v>
      </c>
    </row>
    <row r="37" spans="1:16" x14ac:dyDescent="0.25">
      <c r="A37">
        <v>2023</v>
      </c>
      <c r="B37">
        <v>13</v>
      </c>
      <c r="C37">
        <v>528.9</v>
      </c>
      <c r="D37">
        <v>104482326.89</v>
      </c>
      <c r="E37">
        <v>10577983.470000001</v>
      </c>
      <c r="F37">
        <v>115060310.34999999</v>
      </c>
      <c r="G37">
        <v>370.86</v>
      </c>
    </row>
    <row r="38" spans="1:16" x14ac:dyDescent="0.25">
      <c r="A38">
        <v>2024</v>
      </c>
      <c r="B38">
        <v>5</v>
      </c>
      <c r="C38">
        <v>181.14</v>
      </c>
      <c r="D38">
        <v>104482326.89</v>
      </c>
      <c r="E38">
        <v>3622781.87</v>
      </c>
      <c r="F38">
        <v>108105108.75</v>
      </c>
      <c r="G38">
        <v>348.45</v>
      </c>
    </row>
    <row r="39" spans="1:16" x14ac:dyDescent="0.25">
      <c r="K39" t="s">
        <v>34</v>
      </c>
      <c r="L39" t="s">
        <v>14</v>
      </c>
      <c r="M39" t="s">
        <v>21</v>
      </c>
      <c r="N39" t="s">
        <v>27</v>
      </c>
      <c r="O39" t="s">
        <v>16</v>
      </c>
      <c r="P39" t="s">
        <v>26</v>
      </c>
    </row>
    <row r="40" spans="1:16" x14ac:dyDescent="0.25">
      <c r="A40" s="2" t="s">
        <v>11</v>
      </c>
      <c r="B40" s="2"/>
      <c r="C40" s="2"/>
      <c r="D40" s="2"/>
      <c r="E40" s="2"/>
      <c r="F40" s="2"/>
      <c r="G40" s="2"/>
      <c r="J40">
        <v>2019</v>
      </c>
      <c r="K40" s="1">
        <f>B3</f>
        <v>0</v>
      </c>
      <c r="L40" s="1">
        <f>B12</f>
        <v>1</v>
      </c>
      <c r="M40" s="1">
        <f>B22</f>
        <v>2</v>
      </c>
      <c r="N40">
        <f>B33</f>
        <v>1</v>
      </c>
      <c r="O40" s="1">
        <f>B42</f>
        <v>0</v>
      </c>
      <c r="P40">
        <f t="shared" ref="P40:P45" si="0">B52</f>
        <v>0</v>
      </c>
    </row>
    <row r="41" spans="1:16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>
        <f>SUM(B42:B47)</f>
        <v>50</v>
      </c>
      <c r="J41">
        <v>2020</v>
      </c>
      <c r="K41" s="1">
        <f t="shared" ref="K41:K45" si="1">B4</f>
        <v>11</v>
      </c>
      <c r="L41" s="1">
        <f t="shared" ref="L41:L45" si="2">B13</f>
        <v>14</v>
      </c>
      <c r="M41" s="1">
        <f t="shared" ref="M41:M45" si="3">B23</f>
        <v>8</v>
      </c>
      <c r="N41">
        <f t="shared" ref="N41:N45" si="4">B34</f>
        <v>11</v>
      </c>
      <c r="O41" s="1">
        <f t="shared" ref="O41:O45" si="5">B43</f>
        <v>11</v>
      </c>
      <c r="P41">
        <f t="shared" si="0"/>
        <v>11</v>
      </c>
    </row>
    <row r="42" spans="1:16" x14ac:dyDescent="0.25">
      <c r="A42">
        <v>2019</v>
      </c>
      <c r="B42">
        <v>0</v>
      </c>
      <c r="C42">
        <v>0</v>
      </c>
      <c r="D42">
        <v>103340936.22</v>
      </c>
      <c r="E42">
        <v>0</v>
      </c>
      <c r="F42">
        <v>103340936.22</v>
      </c>
      <c r="G42">
        <v>333.09</v>
      </c>
      <c r="J42">
        <v>2021</v>
      </c>
      <c r="K42" s="1">
        <f t="shared" si="1"/>
        <v>22</v>
      </c>
      <c r="L42" s="1">
        <f t="shared" si="2"/>
        <v>22</v>
      </c>
      <c r="M42" s="1">
        <f t="shared" si="3"/>
        <v>21</v>
      </c>
      <c r="N42">
        <f t="shared" si="4"/>
        <v>21</v>
      </c>
      <c r="O42" s="1">
        <f t="shared" si="5"/>
        <v>22</v>
      </c>
      <c r="P42">
        <f t="shared" si="0"/>
        <v>22</v>
      </c>
    </row>
    <row r="43" spans="1:16" x14ac:dyDescent="0.25">
      <c r="A43">
        <v>2020</v>
      </c>
      <c r="B43">
        <v>11</v>
      </c>
      <c r="C43">
        <v>602.29999999999995</v>
      </c>
      <c r="D43">
        <v>103340936.22</v>
      </c>
      <c r="E43">
        <v>12045962.439999999</v>
      </c>
      <c r="F43">
        <v>115386898.66</v>
      </c>
      <c r="G43">
        <v>371.92</v>
      </c>
      <c r="J43">
        <v>2022</v>
      </c>
      <c r="K43" s="1">
        <f t="shared" si="1"/>
        <v>6</v>
      </c>
      <c r="L43" s="1">
        <f t="shared" si="2"/>
        <v>4</v>
      </c>
      <c r="M43" s="1">
        <f t="shared" si="3"/>
        <v>5</v>
      </c>
      <c r="N43">
        <f t="shared" si="4"/>
        <v>4</v>
      </c>
      <c r="O43" s="1">
        <f t="shared" si="5"/>
        <v>6</v>
      </c>
      <c r="P43">
        <f t="shared" si="0"/>
        <v>6</v>
      </c>
    </row>
    <row r="44" spans="1:16" x14ac:dyDescent="0.25">
      <c r="A44">
        <v>2021</v>
      </c>
      <c r="B44">
        <v>22</v>
      </c>
      <c r="C44">
        <v>1066.26</v>
      </c>
      <c r="D44">
        <v>103340936.22</v>
      </c>
      <c r="E44">
        <v>21325240.620000001</v>
      </c>
      <c r="F44">
        <v>124666176.84</v>
      </c>
      <c r="G44">
        <v>401.82</v>
      </c>
      <c r="J44">
        <v>2023</v>
      </c>
      <c r="K44" s="1">
        <f t="shared" si="1"/>
        <v>13</v>
      </c>
      <c r="L44" s="1">
        <f t="shared" si="2"/>
        <v>17</v>
      </c>
      <c r="M44" s="1">
        <f t="shared" si="3"/>
        <v>11</v>
      </c>
      <c r="N44">
        <f t="shared" si="4"/>
        <v>13</v>
      </c>
      <c r="O44" s="1">
        <f t="shared" si="5"/>
        <v>11</v>
      </c>
      <c r="P44">
        <f t="shared" si="0"/>
        <v>13</v>
      </c>
    </row>
    <row r="45" spans="1:16" x14ac:dyDescent="0.25">
      <c r="A45">
        <v>2022</v>
      </c>
      <c r="B45">
        <v>6</v>
      </c>
      <c r="C45">
        <v>357.54</v>
      </c>
      <c r="D45">
        <v>103340936.22</v>
      </c>
      <c r="E45">
        <v>7150886.4000000004</v>
      </c>
      <c r="F45">
        <v>110491822.62</v>
      </c>
      <c r="G45">
        <v>356.14</v>
      </c>
      <c r="J45">
        <v>2024</v>
      </c>
      <c r="K45" s="1">
        <f t="shared" si="1"/>
        <v>0</v>
      </c>
      <c r="L45" s="1">
        <f t="shared" si="2"/>
        <v>7</v>
      </c>
      <c r="M45" s="1">
        <f t="shared" si="3"/>
        <v>1</v>
      </c>
      <c r="N45">
        <f t="shared" si="4"/>
        <v>5</v>
      </c>
      <c r="O45" s="1">
        <f t="shared" si="5"/>
        <v>0</v>
      </c>
      <c r="P45">
        <f t="shared" si="0"/>
        <v>0</v>
      </c>
    </row>
    <row r="46" spans="1:16" x14ac:dyDescent="0.25">
      <c r="A46">
        <v>2023</v>
      </c>
      <c r="B46">
        <v>11</v>
      </c>
      <c r="C46">
        <v>469.27</v>
      </c>
      <c r="D46">
        <v>103340936.22</v>
      </c>
      <c r="E46">
        <v>9385450.2200000007</v>
      </c>
      <c r="F46">
        <v>112726386.44</v>
      </c>
      <c r="G46">
        <v>363.34</v>
      </c>
    </row>
    <row r="47" spans="1:16" x14ac:dyDescent="0.25">
      <c r="A47">
        <v>2024</v>
      </c>
      <c r="B47">
        <v>0</v>
      </c>
      <c r="C47">
        <v>0</v>
      </c>
      <c r="D47">
        <v>103340936.22</v>
      </c>
      <c r="E47">
        <v>0</v>
      </c>
      <c r="F47">
        <v>103340936.22</v>
      </c>
      <c r="G47">
        <v>333.09</v>
      </c>
    </row>
    <row r="50" spans="1:8" x14ac:dyDescent="0.25">
      <c r="A50" s="2" t="s">
        <v>12</v>
      </c>
      <c r="B50" s="2"/>
      <c r="C50" s="2"/>
      <c r="D50" s="2"/>
      <c r="E50" s="2"/>
      <c r="F50" s="2"/>
      <c r="G50" s="2"/>
    </row>
    <row r="51" spans="1: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>
        <f>SUM(B52:B57)</f>
        <v>52</v>
      </c>
    </row>
    <row r="52" spans="1:8" x14ac:dyDescent="0.25">
      <c r="A52">
        <v>2019</v>
      </c>
      <c r="B52">
        <v>0</v>
      </c>
      <c r="C52">
        <v>0</v>
      </c>
      <c r="D52">
        <v>103311664.88</v>
      </c>
      <c r="E52">
        <v>0</v>
      </c>
      <c r="F52">
        <v>103311664.88</v>
      </c>
      <c r="G52">
        <v>332.99</v>
      </c>
    </row>
    <row r="53" spans="1:8" x14ac:dyDescent="0.25">
      <c r="A53">
        <v>2020</v>
      </c>
      <c r="B53">
        <v>11</v>
      </c>
      <c r="C53">
        <v>615.98</v>
      </c>
      <c r="D53">
        <v>103311664.88</v>
      </c>
      <c r="E53">
        <v>12319530.18</v>
      </c>
      <c r="F53">
        <v>115631195.05</v>
      </c>
      <c r="G53">
        <v>372.7</v>
      </c>
    </row>
    <row r="54" spans="1:8" x14ac:dyDescent="0.25">
      <c r="A54">
        <v>2021</v>
      </c>
      <c r="B54">
        <v>22</v>
      </c>
      <c r="C54">
        <v>1080.0999999999999</v>
      </c>
      <c r="D54">
        <v>103311664.88</v>
      </c>
      <c r="E54">
        <v>21601945.510000002</v>
      </c>
      <c r="F54">
        <v>124913610.39</v>
      </c>
      <c r="G54">
        <v>402.62</v>
      </c>
    </row>
    <row r="55" spans="1:8" x14ac:dyDescent="0.25">
      <c r="A55">
        <v>2022</v>
      </c>
      <c r="B55">
        <v>6</v>
      </c>
      <c r="C55">
        <v>354.35</v>
      </c>
      <c r="D55">
        <v>103311664.88</v>
      </c>
      <c r="E55">
        <v>7087084.7999999998</v>
      </c>
      <c r="F55">
        <v>110398749.68000001</v>
      </c>
      <c r="G55">
        <v>355.84</v>
      </c>
    </row>
    <row r="56" spans="1:8" x14ac:dyDescent="0.25">
      <c r="A56">
        <v>2023</v>
      </c>
      <c r="B56">
        <v>13</v>
      </c>
      <c r="C56">
        <v>467.27</v>
      </c>
      <c r="D56">
        <v>103311664.88</v>
      </c>
      <c r="E56">
        <v>9345330.0399999991</v>
      </c>
      <c r="F56">
        <v>112656994.92</v>
      </c>
      <c r="G56">
        <v>363.12</v>
      </c>
    </row>
    <row r="57" spans="1:8" x14ac:dyDescent="0.25">
      <c r="A57">
        <v>2024</v>
      </c>
      <c r="B57">
        <v>0</v>
      </c>
      <c r="C57">
        <v>0</v>
      </c>
      <c r="D57">
        <v>103311664.88</v>
      </c>
      <c r="E57">
        <v>0</v>
      </c>
      <c r="F57">
        <v>103311664.88</v>
      </c>
      <c r="G57">
        <v>332.99</v>
      </c>
    </row>
    <row r="71" spans="10:16" x14ac:dyDescent="0.25">
      <c r="K71" t="s">
        <v>34</v>
      </c>
      <c r="L71" t="s">
        <v>14</v>
      </c>
      <c r="M71" t="s">
        <v>21</v>
      </c>
      <c r="N71" t="s">
        <v>31</v>
      </c>
      <c r="O71" t="s">
        <v>16</v>
      </c>
      <c r="P71" t="s">
        <v>26</v>
      </c>
    </row>
    <row r="72" spans="10:16" x14ac:dyDescent="0.25">
      <c r="J72" t="s">
        <v>18</v>
      </c>
      <c r="K72" s="1">
        <f t="shared" ref="K72:O72" si="6">SUM(K40:K45)</f>
        <v>52</v>
      </c>
      <c r="L72" s="1">
        <f t="shared" si="6"/>
        <v>65</v>
      </c>
      <c r="M72" s="1">
        <f t="shared" si="6"/>
        <v>48</v>
      </c>
      <c r="N72" s="1">
        <f t="shared" si="6"/>
        <v>55</v>
      </c>
      <c r="O72" s="1">
        <f t="shared" si="6"/>
        <v>50</v>
      </c>
      <c r="P72" s="1">
        <f>SUM(P40:P45)</f>
        <v>52</v>
      </c>
    </row>
  </sheetData>
  <mergeCells count="6">
    <mergeCell ref="A1:G1"/>
    <mergeCell ref="A10:G10"/>
    <mergeCell ref="A20:G20"/>
    <mergeCell ref="A31:G31"/>
    <mergeCell ref="A40:G40"/>
    <mergeCell ref="A50:G5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9D6D-A63E-4C10-AB30-8B7121F08867}">
  <dimension ref="A1:M73"/>
  <sheetViews>
    <sheetView topLeftCell="A55" workbookViewId="0">
      <selection activeCell="G97" sqref="G97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2" width="31.1406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2" t="s">
        <v>7</v>
      </c>
      <c r="B1" s="2"/>
      <c r="C1" s="2"/>
      <c r="D1" s="2"/>
      <c r="E1" s="2"/>
      <c r="F1" s="2"/>
      <c r="G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f>SUM(B3:B8)</f>
        <v>43</v>
      </c>
    </row>
    <row r="3" spans="1:8" x14ac:dyDescent="0.25">
      <c r="A3">
        <v>2019</v>
      </c>
      <c r="B3">
        <v>2</v>
      </c>
      <c r="C3">
        <v>82.85</v>
      </c>
      <c r="D3">
        <v>80575508.049999997</v>
      </c>
      <c r="E3">
        <v>1657041.69</v>
      </c>
      <c r="F3">
        <v>82232549.730000004</v>
      </c>
      <c r="G3">
        <v>265.05</v>
      </c>
    </row>
    <row r="4" spans="1:8" x14ac:dyDescent="0.25">
      <c r="A4">
        <v>2020</v>
      </c>
      <c r="B4">
        <v>8</v>
      </c>
      <c r="C4">
        <v>472.72</v>
      </c>
      <c r="D4">
        <v>80575508.049999997</v>
      </c>
      <c r="E4">
        <v>9454439.3800000008</v>
      </c>
      <c r="F4">
        <v>90029947.420000002</v>
      </c>
      <c r="G4">
        <v>290.19</v>
      </c>
    </row>
    <row r="5" spans="1:8" x14ac:dyDescent="0.25">
      <c r="A5">
        <v>2021</v>
      </c>
      <c r="B5">
        <v>6</v>
      </c>
      <c r="C5">
        <v>281.61</v>
      </c>
      <c r="D5">
        <v>80575508.049999997</v>
      </c>
      <c r="E5">
        <v>5632251.4699999997</v>
      </c>
      <c r="F5">
        <v>86207759.510000005</v>
      </c>
      <c r="G5">
        <v>277.87</v>
      </c>
    </row>
    <row r="6" spans="1:8" x14ac:dyDescent="0.25">
      <c r="A6">
        <v>2022</v>
      </c>
      <c r="B6">
        <v>27</v>
      </c>
      <c r="C6">
        <v>1481.31</v>
      </c>
      <c r="D6">
        <v>80575508.049999997</v>
      </c>
      <c r="E6">
        <v>29626273.329999998</v>
      </c>
      <c r="F6">
        <v>110201781.38</v>
      </c>
      <c r="G6">
        <v>355.2</v>
      </c>
    </row>
    <row r="7" spans="1:8" x14ac:dyDescent="0.25">
      <c r="A7">
        <v>2023</v>
      </c>
      <c r="B7">
        <v>0</v>
      </c>
      <c r="C7">
        <v>0</v>
      </c>
      <c r="D7">
        <v>80575508.049999997</v>
      </c>
      <c r="E7">
        <v>0</v>
      </c>
      <c r="F7">
        <v>80575508.049999997</v>
      </c>
      <c r="G7">
        <v>259.70999999999998</v>
      </c>
    </row>
    <row r="8" spans="1:8" x14ac:dyDescent="0.25">
      <c r="A8">
        <v>2024</v>
      </c>
      <c r="B8">
        <v>0</v>
      </c>
      <c r="C8">
        <v>0</v>
      </c>
      <c r="D8">
        <v>80575508.049999997</v>
      </c>
      <c r="E8">
        <v>0</v>
      </c>
      <c r="F8">
        <v>80575508.049999997</v>
      </c>
      <c r="G8">
        <v>259.70999999999998</v>
      </c>
    </row>
    <row r="11" spans="1:8" x14ac:dyDescent="0.25">
      <c r="A11" s="2" t="s">
        <v>8</v>
      </c>
      <c r="B11" s="2"/>
      <c r="C11" s="2"/>
      <c r="D11" s="2"/>
      <c r="E11" s="2"/>
      <c r="F11" s="2"/>
      <c r="G11" s="2"/>
    </row>
    <row r="12" spans="1: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>
        <f>SUM(B13:B18)</f>
        <v>67</v>
      </c>
    </row>
    <row r="13" spans="1:8" x14ac:dyDescent="0.25">
      <c r="A13">
        <v>2019</v>
      </c>
      <c r="B13">
        <v>5</v>
      </c>
      <c r="C13">
        <v>308.17</v>
      </c>
      <c r="D13">
        <v>73302754.409999996</v>
      </c>
      <c r="E13">
        <v>6163307.6399999997</v>
      </c>
      <c r="F13">
        <v>79466062.049999997</v>
      </c>
      <c r="G13">
        <v>256.14</v>
      </c>
    </row>
    <row r="14" spans="1:8" x14ac:dyDescent="0.25">
      <c r="A14">
        <v>2020</v>
      </c>
      <c r="B14">
        <v>19</v>
      </c>
      <c r="C14">
        <v>852.13</v>
      </c>
      <c r="D14">
        <v>73302754.409999996</v>
      </c>
      <c r="E14">
        <v>17042577.82</v>
      </c>
      <c r="F14">
        <v>90345332.230000004</v>
      </c>
      <c r="G14">
        <v>291.2</v>
      </c>
    </row>
    <row r="15" spans="1:8" x14ac:dyDescent="0.25">
      <c r="A15">
        <v>2021</v>
      </c>
      <c r="B15">
        <v>11</v>
      </c>
      <c r="C15">
        <v>613.07000000000005</v>
      </c>
      <c r="D15">
        <v>73302754.409999996</v>
      </c>
      <c r="E15">
        <v>12261449.779999999</v>
      </c>
      <c r="F15">
        <v>85564204.180000007</v>
      </c>
      <c r="G15">
        <v>275.79000000000002</v>
      </c>
    </row>
    <row r="16" spans="1:8" x14ac:dyDescent="0.25">
      <c r="A16">
        <v>2022</v>
      </c>
      <c r="B16">
        <v>27</v>
      </c>
      <c r="C16">
        <v>1540.81</v>
      </c>
      <c r="D16">
        <v>73302754.409999996</v>
      </c>
      <c r="E16">
        <v>30816130.440000001</v>
      </c>
      <c r="F16">
        <v>104118884.84999999</v>
      </c>
      <c r="G16">
        <v>335.6</v>
      </c>
    </row>
    <row r="17" spans="1:8" x14ac:dyDescent="0.25">
      <c r="A17">
        <v>2023</v>
      </c>
      <c r="B17">
        <v>4</v>
      </c>
      <c r="C17">
        <v>138.68</v>
      </c>
      <c r="D17">
        <v>73302754.409999996</v>
      </c>
      <c r="E17">
        <v>2773587.56</v>
      </c>
      <c r="F17">
        <v>76076341.959999993</v>
      </c>
      <c r="G17">
        <v>245.21</v>
      </c>
    </row>
    <row r="18" spans="1:8" x14ac:dyDescent="0.25">
      <c r="A18">
        <v>2024</v>
      </c>
      <c r="B18">
        <v>1</v>
      </c>
      <c r="C18">
        <v>50.24</v>
      </c>
      <c r="D18">
        <v>73302754.409999996</v>
      </c>
      <c r="E18">
        <v>1004715.11</v>
      </c>
      <c r="F18">
        <v>74307469.519999996</v>
      </c>
      <c r="G18">
        <v>239.51</v>
      </c>
    </row>
    <row r="21" spans="1:8" x14ac:dyDescent="0.25">
      <c r="A21" s="2" t="s">
        <v>9</v>
      </c>
      <c r="B21" s="2"/>
      <c r="C21" s="2"/>
      <c r="D21" s="2"/>
      <c r="E21" s="2"/>
      <c r="F21" s="2"/>
      <c r="G21" s="2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>
        <f>SUM(B23:B28)</f>
        <v>45</v>
      </c>
    </row>
    <row r="23" spans="1:8" x14ac:dyDescent="0.25">
      <c r="A23">
        <v>2019</v>
      </c>
      <c r="B23">
        <v>4</v>
      </c>
      <c r="C23">
        <v>274.69</v>
      </c>
      <c r="D23">
        <v>77463411.319999993</v>
      </c>
      <c r="E23">
        <v>5493872.7999999998</v>
      </c>
      <c r="F23">
        <v>82957284.120000005</v>
      </c>
      <c r="G23">
        <v>267.39</v>
      </c>
    </row>
    <row r="24" spans="1:8" x14ac:dyDescent="0.25">
      <c r="A24">
        <v>2020</v>
      </c>
      <c r="B24">
        <v>12</v>
      </c>
      <c r="C24">
        <v>566.29999999999995</v>
      </c>
      <c r="D24">
        <v>77463411.319999993</v>
      </c>
      <c r="E24">
        <v>11326000.529999999</v>
      </c>
      <c r="F24">
        <v>88789411.859999999</v>
      </c>
      <c r="G24">
        <v>286.19</v>
      </c>
    </row>
    <row r="25" spans="1:8" x14ac:dyDescent="0.25">
      <c r="A25">
        <v>2021</v>
      </c>
      <c r="B25">
        <v>6</v>
      </c>
      <c r="C25">
        <v>389.57</v>
      </c>
      <c r="D25">
        <v>77463411.319999993</v>
      </c>
      <c r="E25">
        <v>7791324.7999999998</v>
      </c>
      <c r="F25">
        <v>85254736.120000005</v>
      </c>
      <c r="G25">
        <v>274.79000000000002</v>
      </c>
    </row>
    <row r="26" spans="1:8" x14ac:dyDescent="0.25">
      <c r="A26">
        <v>2022</v>
      </c>
      <c r="B26">
        <v>22</v>
      </c>
      <c r="C26">
        <v>1152.83</v>
      </c>
      <c r="D26">
        <v>77463411.319999993</v>
      </c>
      <c r="E26">
        <v>23056664.399999999</v>
      </c>
      <c r="F26">
        <v>100520075.72</v>
      </c>
      <c r="G26">
        <v>324</v>
      </c>
    </row>
    <row r="27" spans="1:8" x14ac:dyDescent="0.25">
      <c r="A27">
        <v>2023</v>
      </c>
      <c r="B27">
        <v>0</v>
      </c>
      <c r="C27">
        <v>0</v>
      </c>
      <c r="D27">
        <v>77463411.319999993</v>
      </c>
      <c r="E27">
        <v>0</v>
      </c>
      <c r="F27">
        <v>77463411.319999993</v>
      </c>
      <c r="G27">
        <v>249.68</v>
      </c>
    </row>
    <row r="28" spans="1:8" x14ac:dyDescent="0.25">
      <c r="A28">
        <v>2024</v>
      </c>
      <c r="B28">
        <v>1</v>
      </c>
      <c r="C28">
        <v>31.45</v>
      </c>
      <c r="D28">
        <v>77463411.319999993</v>
      </c>
      <c r="E28">
        <v>628938.67000000004</v>
      </c>
      <c r="F28">
        <v>78092349.989999995</v>
      </c>
      <c r="G28">
        <v>251.71</v>
      </c>
    </row>
    <row r="32" spans="1:8" x14ac:dyDescent="0.25">
      <c r="A32" s="2" t="s">
        <v>10</v>
      </c>
      <c r="B32" s="2"/>
      <c r="C32" s="2"/>
      <c r="D32" s="2"/>
      <c r="E32" s="2"/>
      <c r="F32" s="2"/>
      <c r="G32" s="2"/>
    </row>
    <row r="33" spans="1:13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>
        <f>SUM(B34:B39)</f>
        <v>67</v>
      </c>
    </row>
    <row r="34" spans="1:13" x14ac:dyDescent="0.25">
      <c r="A34">
        <v>2019</v>
      </c>
      <c r="B34">
        <v>5</v>
      </c>
      <c r="C34">
        <v>308.17</v>
      </c>
      <c r="D34">
        <v>73302754.409999996</v>
      </c>
      <c r="E34">
        <v>6163307.6399999997</v>
      </c>
      <c r="F34">
        <v>79466062.049999997</v>
      </c>
      <c r="G34">
        <v>256.14</v>
      </c>
    </row>
    <row r="35" spans="1:13" x14ac:dyDescent="0.25">
      <c r="A35">
        <v>2020</v>
      </c>
      <c r="B35">
        <v>19</v>
      </c>
      <c r="C35">
        <v>852.13</v>
      </c>
      <c r="D35">
        <v>73302754.409999996</v>
      </c>
      <c r="E35">
        <v>17042577.82</v>
      </c>
      <c r="F35">
        <v>90345332.230000004</v>
      </c>
      <c r="G35">
        <v>291.2</v>
      </c>
    </row>
    <row r="36" spans="1:13" x14ac:dyDescent="0.25">
      <c r="A36">
        <v>2021</v>
      </c>
      <c r="B36">
        <v>11</v>
      </c>
      <c r="C36">
        <v>613.07000000000005</v>
      </c>
      <c r="D36">
        <v>73302754.409999996</v>
      </c>
      <c r="E36">
        <v>12261449.779999999</v>
      </c>
      <c r="F36">
        <v>85564204.180000007</v>
      </c>
      <c r="G36">
        <v>275.79000000000002</v>
      </c>
    </row>
    <row r="37" spans="1:13" x14ac:dyDescent="0.25">
      <c r="A37">
        <v>2022</v>
      </c>
      <c r="B37">
        <v>27</v>
      </c>
      <c r="C37">
        <v>1540.81</v>
      </c>
      <c r="D37">
        <v>73302754.409999996</v>
      </c>
      <c r="E37">
        <v>30816130.440000001</v>
      </c>
      <c r="F37">
        <v>104118884.84999999</v>
      </c>
      <c r="G37">
        <v>335.6</v>
      </c>
    </row>
    <row r="38" spans="1:13" x14ac:dyDescent="0.25">
      <c r="A38">
        <v>2023</v>
      </c>
      <c r="B38">
        <v>4</v>
      </c>
      <c r="C38">
        <v>138.68</v>
      </c>
      <c r="D38">
        <v>73302754.409999996</v>
      </c>
      <c r="E38">
        <v>2773587.56</v>
      </c>
      <c r="F38">
        <v>76076341.959999993</v>
      </c>
      <c r="G38">
        <v>245.21</v>
      </c>
    </row>
    <row r="39" spans="1:13" x14ac:dyDescent="0.25">
      <c r="A39">
        <v>2024</v>
      </c>
      <c r="B39">
        <v>1</v>
      </c>
      <c r="C39">
        <v>50.24</v>
      </c>
      <c r="D39">
        <v>73302754.409999996</v>
      </c>
      <c r="E39">
        <v>1004715.11</v>
      </c>
      <c r="F39">
        <v>74307469.519999996</v>
      </c>
      <c r="G39">
        <v>239.51</v>
      </c>
    </row>
    <row r="40" spans="1:13" x14ac:dyDescent="0.25">
      <c r="K40" t="s">
        <v>24</v>
      </c>
      <c r="L40" t="s">
        <v>23</v>
      </c>
      <c r="M40" t="s">
        <v>21</v>
      </c>
    </row>
    <row r="41" spans="1:13" x14ac:dyDescent="0.25">
      <c r="A41" s="2" t="s">
        <v>11</v>
      </c>
      <c r="B41" s="2"/>
      <c r="C41" s="2"/>
      <c r="D41" s="2"/>
      <c r="E41" s="2"/>
      <c r="F41" s="2"/>
      <c r="G41" s="2"/>
      <c r="J41">
        <v>2019</v>
      </c>
      <c r="K41" s="1">
        <f>B3</f>
        <v>2</v>
      </c>
      <c r="L41" s="1">
        <f>B13</f>
        <v>5</v>
      </c>
      <c r="M41" s="1">
        <f>B23</f>
        <v>4</v>
      </c>
    </row>
    <row r="42" spans="1:13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>
        <f>SUM(B43:B48)</f>
        <v>43</v>
      </c>
      <c r="J42">
        <v>2020</v>
      </c>
      <c r="K42" s="1">
        <f t="shared" ref="K42:K46" si="0">B4</f>
        <v>8</v>
      </c>
      <c r="L42" s="1">
        <f t="shared" ref="L42:L46" si="1">B14</f>
        <v>19</v>
      </c>
      <c r="M42" s="1">
        <f t="shared" ref="M42:M46" si="2">B24</f>
        <v>12</v>
      </c>
    </row>
    <row r="43" spans="1:13" x14ac:dyDescent="0.25">
      <c r="A43">
        <v>2019</v>
      </c>
      <c r="B43">
        <v>2</v>
      </c>
      <c r="C43">
        <v>82.85</v>
      </c>
      <c r="D43">
        <v>80575508.049999997</v>
      </c>
      <c r="E43">
        <v>1657041.69</v>
      </c>
      <c r="F43">
        <v>82232549.730000004</v>
      </c>
      <c r="G43">
        <v>265.05</v>
      </c>
      <c r="J43">
        <v>2021</v>
      </c>
      <c r="K43" s="1">
        <f t="shared" si="0"/>
        <v>6</v>
      </c>
      <c r="L43" s="1">
        <f t="shared" si="1"/>
        <v>11</v>
      </c>
      <c r="M43" s="1">
        <f t="shared" si="2"/>
        <v>6</v>
      </c>
    </row>
    <row r="44" spans="1:13" x14ac:dyDescent="0.25">
      <c r="A44">
        <v>2020</v>
      </c>
      <c r="B44">
        <v>8</v>
      </c>
      <c r="C44">
        <v>472.72</v>
      </c>
      <c r="D44">
        <v>80575508.049999997</v>
      </c>
      <c r="E44">
        <v>9454439.3800000008</v>
      </c>
      <c r="F44">
        <v>90029947.420000002</v>
      </c>
      <c r="G44">
        <v>290.19</v>
      </c>
      <c r="J44">
        <v>2022</v>
      </c>
      <c r="K44" s="1">
        <f t="shared" si="0"/>
        <v>27</v>
      </c>
      <c r="L44" s="1">
        <f t="shared" si="1"/>
        <v>27</v>
      </c>
      <c r="M44" s="1">
        <f t="shared" si="2"/>
        <v>22</v>
      </c>
    </row>
    <row r="45" spans="1:13" x14ac:dyDescent="0.25">
      <c r="A45">
        <v>2021</v>
      </c>
      <c r="B45">
        <v>6</v>
      </c>
      <c r="C45">
        <v>281.61</v>
      </c>
      <c r="D45">
        <v>80575508.049999997</v>
      </c>
      <c r="E45">
        <v>5632251.4699999997</v>
      </c>
      <c r="F45">
        <v>86207759.510000005</v>
      </c>
      <c r="G45">
        <v>277.87</v>
      </c>
      <c r="J45">
        <v>2023</v>
      </c>
      <c r="K45" s="1">
        <f t="shared" si="0"/>
        <v>0</v>
      </c>
      <c r="L45" s="1">
        <f t="shared" si="1"/>
        <v>4</v>
      </c>
      <c r="M45" s="1">
        <f t="shared" si="2"/>
        <v>0</v>
      </c>
    </row>
    <row r="46" spans="1:13" x14ac:dyDescent="0.25">
      <c r="A46">
        <v>2022</v>
      </c>
      <c r="B46">
        <v>27</v>
      </c>
      <c r="C46">
        <v>1481.31</v>
      </c>
      <c r="D46">
        <v>80575508.049999997</v>
      </c>
      <c r="E46">
        <v>29626273.329999998</v>
      </c>
      <c r="F46">
        <v>110201781.38</v>
      </c>
      <c r="G46">
        <v>355.2</v>
      </c>
      <c r="J46">
        <v>2024</v>
      </c>
      <c r="K46" s="1">
        <f t="shared" si="0"/>
        <v>0</v>
      </c>
      <c r="L46" s="1">
        <f t="shared" si="1"/>
        <v>1</v>
      </c>
      <c r="M46" s="1">
        <f t="shared" si="2"/>
        <v>1</v>
      </c>
    </row>
    <row r="47" spans="1:13" x14ac:dyDescent="0.25">
      <c r="A47">
        <v>2023</v>
      </c>
      <c r="B47">
        <v>0</v>
      </c>
      <c r="C47">
        <v>0</v>
      </c>
      <c r="D47">
        <v>80575508.049999997</v>
      </c>
      <c r="E47">
        <v>0</v>
      </c>
      <c r="F47">
        <v>80575508.049999997</v>
      </c>
      <c r="G47">
        <v>259.70999999999998</v>
      </c>
    </row>
    <row r="48" spans="1:13" x14ac:dyDescent="0.25">
      <c r="A48">
        <v>2024</v>
      </c>
      <c r="B48">
        <v>0</v>
      </c>
      <c r="C48">
        <v>0</v>
      </c>
      <c r="D48">
        <v>80575508.049999997</v>
      </c>
      <c r="E48">
        <v>0</v>
      </c>
      <c r="F48">
        <v>80575508.049999997</v>
      </c>
      <c r="G48">
        <v>259.70999999999998</v>
      </c>
    </row>
    <row r="51" spans="1:8" x14ac:dyDescent="0.25">
      <c r="A51" s="2" t="s">
        <v>12</v>
      </c>
      <c r="B51" s="2"/>
      <c r="C51" s="2"/>
      <c r="D51" s="2"/>
      <c r="E51" s="2"/>
      <c r="F51" s="2"/>
      <c r="G51" s="2"/>
    </row>
    <row r="52" spans="1: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>
        <f>SUM(B53:B58)</f>
        <v>43</v>
      </c>
    </row>
    <row r="53" spans="1:8" x14ac:dyDescent="0.25">
      <c r="A53">
        <v>2019</v>
      </c>
      <c r="B53">
        <v>2</v>
      </c>
      <c r="C53">
        <v>82.85</v>
      </c>
      <c r="D53">
        <v>80575508.049999997</v>
      </c>
      <c r="E53">
        <v>1657041.69</v>
      </c>
      <c r="F53">
        <v>82232549.730000004</v>
      </c>
      <c r="G53">
        <v>265.05</v>
      </c>
    </row>
    <row r="54" spans="1:8" x14ac:dyDescent="0.25">
      <c r="A54">
        <v>2020</v>
      </c>
      <c r="B54">
        <v>8</v>
      </c>
      <c r="C54">
        <v>472.72</v>
      </c>
      <c r="D54">
        <v>80575508.049999997</v>
      </c>
      <c r="E54">
        <v>9454439.3800000008</v>
      </c>
      <c r="F54">
        <v>90029947.420000002</v>
      </c>
      <c r="G54">
        <v>290.19</v>
      </c>
    </row>
    <row r="55" spans="1:8" x14ac:dyDescent="0.25">
      <c r="A55">
        <v>2021</v>
      </c>
      <c r="B55">
        <v>6</v>
      </c>
      <c r="C55">
        <v>281.61</v>
      </c>
      <c r="D55">
        <v>80575508.049999997</v>
      </c>
      <c r="E55">
        <v>5632251.4699999997</v>
      </c>
      <c r="F55">
        <v>86207759.510000005</v>
      </c>
      <c r="G55">
        <v>277.87</v>
      </c>
    </row>
    <row r="56" spans="1:8" x14ac:dyDescent="0.25">
      <c r="A56">
        <v>2022</v>
      </c>
      <c r="B56">
        <v>27</v>
      </c>
      <c r="C56">
        <v>1481.31</v>
      </c>
      <c r="D56">
        <v>80575508.049999997</v>
      </c>
      <c r="E56">
        <v>29626273.329999998</v>
      </c>
      <c r="F56">
        <v>110201781.38</v>
      </c>
      <c r="G56">
        <v>355.2</v>
      </c>
    </row>
    <row r="57" spans="1:8" x14ac:dyDescent="0.25">
      <c r="A57">
        <v>2023</v>
      </c>
      <c r="B57">
        <v>0</v>
      </c>
      <c r="C57">
        <v>0</v>
      </c>
      <c r="D57">
        <v>80575508.049999997</v>
      </c>
      <c r="E57">
        <v>0</v>
      </c>
      <c r="F57">
        <v>80575508.049999997</v>
      </c>
      <c r="G57">
        <v>259.70999999999998</v>
      </c>
    </row>
    <row r="58" spans="1:8" x14ac:dyDescent="0.25">
      <c r="A58">
        <v>2024</v>
      </c>
      <c r="B58">
        <v>0</v>
      </c>
      <c r="C58">
        <v>0</v>
      </c>
      <c r="D58">
        <v>80575508.049999997</v>
      </c>
      <c r="E58">
        <v>0</v>
      </c>
      <c r="F58">
        <v>80575508.049999997</v>
      </c>
      <c r="G58">
        <v>259.70999999999998</v>
      </c>
    </row>
    <row r="72" spans="10:13" x14ac:dyDescent="0.25">
      <c r="K72" t="s">
        <v>40</v>
      </c>
      <c r="L72" t="s">
        <v>39</v>
      </c>
      <c r="M72" t="s">
        <v>21</v>
      </c>
    </row>
    <row r="73" spans="10:13" x14ac:dyDescent="0.25">
      <c r="J73" t="s">
        <v>18</v>
      </c>
      <c r="K73" s="1">
        <f>SUM(K41:K46)</f>
        <v>43</v>
      </c>
      <c r="L73" s="1">
        <f>SUM(L41:L46)</f>
        <v>67</v>
      </c>
      <c r="M73" s="1">
        <f>SUM(M41:M46)</f>
        <v>45</v>
      </c>
    </row>
  </sheetData>
  <mergeCells count="6">
    <mergeCell ref="A51:G51"/>
    <mergeCell ref="A1:G1"/>
    <mergeCell ref="A11:G11"/>
    <mergeCell ref="A21:G21"/>
    <mergeCell ref="A32:G32"/>
    <mergeCell ref="A41:G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Sheet3</vt:lpstr>
      <vt:lpstr>v2</vt:lpstr>
      <vt:lpstr>V5</vt:lpstr>
      <vt:lpstr>V7</vt:lpstr>
      <vt:lpstr>Q3</vt:lpstr>
      <vt:lpstr>Q10</vt:lpstr>
      <vt:lpstr>Q9</vt:lpstr>
      <vt:lpstr>S3</vt:lpstr>
      <vt:lpstr>S5</vt:lpstr>
      <vt:lpstr>S6</vt:lpstr>
      <vt:lpstr>T2</vt:lpstr>
      <vt:lpstr>T3</vt:lpstr>
      <vt:lpstr>T1</vt:lpstr>
      <vt:lpstr>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Liu-Meaden</dc:creator>
  <cp:lastModifiedBy>Joy Liu Meaden</cp:lastModifiedBy>
  <dcterms:created xsi:type="dcterms:W3CDTF">2015-06-05T18:17:20Z</dcterms:created>
  <dcterms:modified xsi:type="dcterms:W3CDTF">2026-10-13T14:02:24Z</dcterms:modified>
</cp:coreProperties>
</file>